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026 Trading\"/>
    </mc:Choice>
  </mc:AlternateContent>
  <bookViews>
    <workbookView xWindow="0" yWindow="0" windowWidth="19200" windowHeight="7190" activeTab="6"/>
  </bookViews>
  <sheets>
    <sheet name="Dashboard" sheetId="4" r:id="rId1"/>
    <sheet name="Pivots" sheetId="2" r:id="rId2"/>
    <sheet name="Raw" sheetId="14" r:id="rId3"/>
    <sheet name="Trades" sheetId="1" r:id="rId4"/>
    <sheet name="Sheet1" sheetId="9" state="hidden" r:id="rId5"/>
    <sheet name="Sheet2" sheetId="10" state="hidden" r:id="rId6"/>
    <sheet name="Phase 1" sheetId="6" r:id="rId7"/>
    <sheet name="GOALS" sheetId="13" r:id="rId8"/>
    <sheet name="Compounding bot" sheetId="7" state="hidden" r:id="rId9"/>
    <sheet name="Compounding 2026" sheetId="8" state="hidden" r:id="rId10"/>
  </sheets>
  <definedNames>
    <definedName name="trades">Trades!$B$1:$AI$4830</definedName>
  </definedNames>
  <calcPr calcId="152511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6" l="1"/>
  <c r="B8" i="6" l="1"/>
  <c r="B6" i="6"/>
  <c r="B7" i="6"/>
  <c r="B20" i="1"/>
  <c r="C20" i="1"/>
  <c r="Q20" i="1" s="1"/>
  <c r="D20" i="1"/>
  <c r="E20" i="1"/>
  <c r="F20" i="1"/>
  <c r="G20" i="1"/>
  <c r="J20" i="1"/>
  <c r="K20" i="1"/>
  <c r="N20" i="1"/>
  <c r="O20" i="1"/>
  <c r="P20" i="1"/>
  <c r="B21" i="1"/>
  <c r="C21" i="1"/>
  <c r="Q21" i="1" s="1"/>
  <c r="D21" i="1"/>
  <c r="E21" i="1"/>
  <c r="F21" i="1"/>
  <c r="G21" i="1"/>
  <c r="J21" i="1"/>
  <c r="K21" i="1"/>
  <c r="N21" i="1"/>
  <c r="O21" i="1"/>
  <c r="P21" i="1"/>
  <c r="I21" i="1" s="1"/>
  <c r="B22" i="1"/>
  <c r="C22" i="1"/>
  <c r="D22" i="1"/>
  <c r="E22" i="1"/>
  <c r="F22" i="1"/>
  <c r="G22" i="1"/>
  <c r="J22" i="1"/>
  <c r="K22" i="1"/>
  <c r="N22" i="1"/>
  <c r="O22" i="1"/>
  <c r="P22" i="1"/>
  <c r="Q22" i="1"/>
  <c r="B23" i="1"/>
  <c r="C23" i="1"/>
  <c r="Q23" i="1" s="1"/>
  <c r="D23" i="1"/>
  <c r="E23" i="1"/>
  <c r="F23" i="1"/>
  <c r="G23" i="1"/>
  <c r="J23" i="1"/>
  <c r="K23" i="1"/>
  <c r="N23" i="1"/>
  <c r="O23" i="1"/>
  <c r="P23" i="1"/>
  <c r="I23" i="1" s="1"/>
  <c r="L23" i="1" s="1"/>
  <c r="B24" i="1"/>
  <c r="C24" i="1"/>
  <c r="Q24" i="1" s="1"/>
  <c r="D24" i="1"/>
  <c r="E24" i="1"/>
  <c r="F24" i="1"/>
  <c r="G24" i="1"/>
  <c r="J24" i="1"/>
  <c r="K24" i="1"/>
  <c r="N24" i="1"/>
  <c r="O24" i="1"/>
  <c r="P24" i="1"/>
  <c r="I24" i="1" s="1"/>
  <c r="B25" i="1"/>
  <c r="C25" i="1"/>
  <c r="Q25" i="1" s="1"/>
  <c r="D25" i="1"/>
  <c r="E25" i="1"/>
  <c r="F25" i="1"/>
  <c r="G25" i="1"/>
  <c r="J25" i="1"/>
  <c r="K25" i="1"/>
  <c r="N25" i="1"/>
  <c r="O25" i="1"/>
  <c r="P25" i="1"/>
  <c r="B26" i="1"/>
  <c r="C26" i="1"/>
  <c r="Q26" i="1" s="1"/>
  <c r="D26" i="1"/>
  <c r="E26" i="1"/>
  <c r="F26" i="1"/>
  <c r="G26" i="1"/>
  <c r="J26" i="1"/>
  <c r="K26" i="1"/>
  <c r="N26" i="1"/>
  <c r="O26" i="1"/>
  <c r="P26" i="1"/>
  <c r="B27" i="1"/>
  <c r="C27" i="1"/>
  <c r="Q27" i="1" s="1"/>
  <c r="D27" i="1"/>
  <c r="E27" i="1"/>
  <c r="F27" i="1"/>
  <c r="G27" i="1"/>
  <c r="J27" i="1"/>
  <c r="K27" i="1"/>
  <c r="N27" i="1"/>
  <c r="O27" i="1"/>
  <c r="P27" i="1"/>
  <c r="B28" i="1"/>
  <c r="C28" i="1"/>
  <c r="Q28" i="1" s="1"/>
  <c r="D28" i="1"/>
  <c r="E28" i="1"/>
  <c r="F28" i="1"/>
  <c r="G28" i="1"/>
  <c r="J28" i="1"/>
  <c r="K28" i="1"/>
  <c r="N28" i="1"/>
  <c r="O28" i="1"/>
  <c r="P28" i="1"/>
  <c r="I28" i="1" s="1"/>
  <c r="B29" i="1"/>
  <c r="C29" i="1"/>
  <c r="Q29" i="1" s="1"/>
  <c r="D29" i="1"/>
  <c r="E29" i="1"/>
  <c r="F29" i="1"/>
  <c r="G29" i="1"/>
  <c r="J29" i="1"/>
  <c r="K29" i="1"/>
  <c r="N29" i="1"/>
  <c r="O29" i="1"/>
  <c r="P29" i="1"/>
  <c r="B30" i="1"/>
  <c r="C30" i="1"/>
  <c r="D30" i="1"/>
  <c r="E30" i="1"/>
  <c r="F30" i="1"/>
  <c r="G30" i="1"/>
  <c r="J30" i="1"/>
  <c r="K30" i="1"/>
  <c r="N30" i="1"/>
  <c r="O30" i="1"/>
  <c r="P30" i="1"/>
  <c r="I30" i="1" s="1"/>
  <c r="M30" i="1" s="1"/>
  <c r="Q30" i="1"/>
  <c r="B31" i="1"/>
  <c r="C31" i="1"/>
  <c r="Q31" i="1" s="1"/>
  <c r="D31" i="1"/>
  <c r="E31" i="1"/>
  <c r="F31" i="1"/>
  <c r="G31" i="1"/>
  <c r="J31" i="1"/>
  <c r="K31" i="1"/>
  <c r="N31" i="1"/>
  <c r="O31" i="1"/>
  <c r="P31" i="1"/>
  <c r="I31" i="1" s="1"/>
  <c r="L31" i="1" s="1"/>
  <c r="B32" i="1"/>
  <c r="C32" i="1"/>
  <c r="Q32" i="1" s="1"/>
  <c r="D32" i="1"/>
  <c r="E32" i="1"/>
  <c r="F32" i="1"/>
  <c r="G32" i="1"/>
  <c r="J32" i="1"/>
  <c r="K32" i="1"/>
  <c r="N32" i="1"/>
  <c r="O32" i="1"/>
  <c r="P32" i="1"/>
  <c r="B33" i="1"/>
  <c r="C33" i="1"/>
  <c r="Q33" i="1" s="1"/>
  <c r="D33" i="1"/>
  <c r="E33" i="1"/>
  <c r="F33" i="1"/>
  <c r="G33" i="1"/>
  <c r="J33" i="1"/>
  <c r="K33" i="1"/>
  <c r="N33" i="1"/>
  <c r="O33" i="1"/>
  <c r="P33" i="1"/>
  <c r="L28" i="1" l="1"/>
  <c r="M28" i="1"/>
  <c r="I26" i="1"/>
  <c r="I22" i="1"/>
  <c r="I32" i="1"/>
  <c r="M32" i="1" s="1"/>
  <c r="I29" i="1"/>
  <c r="I27" i="1"/>
  <c r="M27" i="1" s="1"/>
  <c r="I33" i="1"/>
  <c r="L33" i="1" s="1"/>
  <c r="I25" i="1"/>
  <c r="M25" i="1" s="1"/>
  <c r="I20" i="1"/>
  <c r="L20" i="1"/>
  <c r="M20" i="1"/>
  <c r="L24" i="1"/>
  <c r="M24" i="1"/>
  <c r="L26" i="1"/>
  <c r="M26" i="1"/>
  <c r="M22" i="1"/>
  <c r="L22" i="1"/>
  <c r="L32" i="1"/>
  <c r="L21" i="1"/>
  <c r="M21" i="1"/>
  <c r="L29" i="1"/>
  <c r="M29" i="1"/>
  <c r="M31" i="1"/>
  <c r="L30" i="1"/>
  <c r="M23" i="1"/>
  <c r="B16" i="1"/>
  <c r="C16" i="1"/>
  <c r="D16" i="1"/>
  <c r="E16" i="1"/>
  <c r="F16" i="1"/>
  <c r="G16" i="1"/>
  <c r="J16" i="1"/>
  <c r="K16" i="1"/>
  <c r="N16" i="1"/>
  <c r="O16" i="1"/>
  <c r="P16" i="1"/>
  <c r="I16" i="1" s="1"/>
  <c r="Q16" i="1"/>
  <c r="B17" i="1"/>
  <c r="C17" i="1"/>
  <c r="Q17" i="1" s="1"/>
  <c r="D17" i="1"/>
  <c r="E17" i="1"/>
  <c r="F17" i="1"/>
  <c r="G17" i="1"/>
  <c r="J17" i="1"/>
  <c r="K17" i="1"/>
  <c r="I17" i="1" s="1"/>
  <c r="N17" i="1"/>
  <c r="O17" i="1"/>
  <c r="P17" i="1"/>
  <c r="B18" i="1"/>
  <c r="C18" i="1"/>
  <c r="Q18" i="1" s="1"/>
  <c r="D18" i="1"/>
  <c r="E18" i="1"/>
  <c r="F18" i="1"/>
  <c r="G18" i="1"/>
  <c r="J18" i="1"/>
  <c r="K18" i="1"/>
  <c r="N18" i="1"/>
  <c r="O18" i="1"/>
  <c r="P18" i="1"/>
  <c r="I18" i="1" s="1"/>
  <c r="B19" i="1"/>
  <c r="C19" i="1"/>
  <c r="Q19" i="1" s="1"/>
  <c r="D19" i="1"/>
  <c r="E19" i="1"/>
  <c r="F19" i="1"/>
  <c r="G19" i="1"/>
  <c r="J19" i="1"/>
  <c r="K19" i="1"/>
  <c r="I19" i="1" s="1"/>
  <c r="N19" i="1"/>
  <c r="O19" i="1"/>
  <c r="P19" i="1"/>
  <c r="L16" i="1" l="1"/>
  <c r="B5" i="6"/>
  <c r="L25" i="1"/>
  <c r="M33" i="1"/>
  <c r="L27" i="1"/>
  <c r="L17" i="1"/>
  <c r="M17" i="1"/>
  <c r="L19" i="1"/>
  <c r="M19" i="1"/>
  <c r="L18" i="1"/>
  <c r="M18" i="1"/>
  <c r="M16" i="1"/>
  <c r="U2" i="13"/>
  <c r="J13" i="13"/>
  <c r="N6" i="13"/>
  <c r="R3" i="13"/>
  <c r="Q3" i="13"/>
  <c r="Q4" i="13"/>
  <c r="P4" i="13"/>
  <c r="O4" i="13"/>
  <c r="N4" i="13"/>
  <c r="M4" i="13"/>
  <c r="K4" i="13"/>
  <c r="L4" i="13"/>
  <c r="L6" i="13"/>
  <c r="J6" i="13"/>
  <c r="J5" i="13"/>
  <c r="J4" i="13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G2" i="1" l="1"/>
  <c r="B3" i="1"/>
  <c r="C3" i="1"/>
  <c r="Q3" i="1" s="1"/>
  <c r="D3" i="1"/>
  <c r="E3" i="1"/>
  <c r="F3" i="1"/>
  <c r="G3" i="1"/>
  <c r="J3" i="1"/>
  <c r="K3" i="1"/>
  <c r="N3" i="1"/>
  <c r="O3" i="1"/>
  <c r="B4" i="1"/>
  <c r="C4" i="1"/>
  <c r="Q4" i="1" s="1"/>
  <c r="D4" i="1"/>
  <c r="E4" i="1"/>
  <c r="F4" i="1"/>
  <c r="G4" i="1"/>
  <c r="J4" i="1"/>
  <c r="K4" i="1"/>
  <c r="N4" i="1"/>
  <c r="O4" i="1"/>
  <c r="B5" i="1"/>
  <c r="C5" i="1"/>
  <c r="Q5" i="1" s="1"/>
  <c r="D5" i="1"/>
  <c r="E5" i="1"/>
  <c r="F5" i="1"/>
  <c r="G5" i="1"/>
  <c r="J5" i="1"/>
  <c r="K5" i="1"/>
  <c r="N5" i="1"/>
  <c r="O5" i="1"/>
  <c r="B6" i="1"/>
  <c r="C6" i="1"/>
  <c r="Q6" i="1" s="1"/>
  <c r="D6" i="1"/>
  <c r="E6" i="1"/>
  <c r="F6" i="1"/>
  <c r="G6" i="1"/>
  <c r="J6" i="1"/>
  <c r="K6" i="1"/>
  <c r="N6" i="1"/>
  <c r="O6" i="1"/>
  <c r="B7" i="1"/>
  <c r="C7" i="1"/>
  <c r="Q7" i="1" s="1"/>
  <c r="D7" i="1"/>
  <c r="E7" i="1"/>
  <c r="F7" i="1"/>
  <c r="G7" i="1"/>
  <c r="J7" i="1"/>
  <c r="K7" i="1"/>
  <c r="N7" i="1"/>
  <c r="O7" i="1"/>
  <c r="B8" i="1"/>
  <c r="C8" i="1"/>
  <c r="Q8" i="1" s="1"/>
  <c r="D8" i="1"/>
  <c r="E8" i="1"/>
  <c r="F8" i="1"/>
  <c r="G8" i="1"/>
  <c r="J8" i="1"/>
  <c r="K8" i="1"/>
  <c r="N8" i="1"/>
  <c r="O8" i="1"/>
  <c r="B9" i="1"/>
  <c r="C9" i="1"/>
  <c r="Q9" i="1" s="1"/>
  <c r="D9" i="1"/>
  <c r="E9" i="1"/>
  <c r="F9" i="1"/>
  <c r="G9" i="1"/>
  <c r="J9" i="1"/>
  <c r="K9" i="1"/>
  <c r="N9" i="1"/>
  <c r="O9" i="1"/>
  <c r="B10" i="1"/>
  <c r="C10" i="1"/>
  <c r="Q10" i="1" s="1"/>
  <c r="D10" i="1"/>
  <c r="E10" i="1"/>
  <c r="F10" i="1"/>
  <c r="G10" i="1"/>
  <c r="J10" i="1"/>
  <c r="K10" i="1"/>
  <c r="N10" i="1"/>
  <c r="O10" i="1"/>
  <c r="B11" i="1"/>
  <c r="C11" i="1"/>
  <c r="Q11" i="1" s="1"/>
  <c r="D11" i="1"/>
  <c r="E11" i="1"/>
  <c r="F11" i="1"/>
  <c r="G11" i="1"/>
  <c r="J11" i="1"/>
  <c r="K11" i="1"/>
  <c r="N11" i="1"/>
  <c r="O11" i="1"/>
  <c r="B12" i="1"/>
  <c r="C12" i="1"/>
  <c r="Q12" i="1" s="1"/>
  <c r="D12" i="1"/>
  <c r="E12" i="1"/>
  <c r="F12" i="1"/>
  <c r="G12" i="1"/>
  <c r="J12" i="1"/>
  <c r="K12" i="1"/>
  <c r="N12" i="1"/>
  <c r="O12" i="1"/>
  <c r="B13" i="1"/>
  <c r="C13" i="1"/>
  <c r="Q13" i="1" s="1"/>
  <c r="D13" i="1"/>
  <c r="E13" i="1"/>
  <c r="F13" i="1"/>
  <c r="G13" i="1"/>
  <c r="J13" i="1"/>
  <c r="K13" i="1"/>
  <c r="N13" i="1"/>
  <c r="O13" i="1"/>
  <c r="B14" i="1"/>
  <c r="C14" i="1"/>
  <c r="Q14" i="1" s="1"/>
  <c r="D14" i="1"/>
  <c r="E14" i="1"/>
  <c r="F14" i="1"/>
  <c r="G14" i="1"/>
  <c r="J14" i="1"/>
  <c r="K14" i="1"/>
  <c r="N14" i="1"/>
  <c r="O14" i="1"/>
  <c r="B15" i="1"/>
  <c r="C15" i="1"/>
  <c r="Q15" i="1" s="1"/>
  <c r="D15" i="1"/>
  <c r="E15" i="1"/>
  <c r="F15" i="1"/>
  <c r="G15" i="1"/>
  <c r="J15" i="1"/>
  <c r="K15" i="1"/>
  <c r="N15" i="1"/>
  <c r="O15" i="1"/>
  <c r="P4" i="1"/>
  <c r="I4" i="1" s="1"/>
  <c r="L4" i="1" s="1"/>
  <c r="P5" i="1"/>
  <c r="P6" i="1"/>
  <c r="P7" i="1"/>
  <c r="P8" i="1"/>
  <c r="P9" i="1"/>
  <c r="P10" i="1"/>
  <c r="P11" i="1"/>
  <c r="P12" i="1"/>
  <c r="I12" i="1" s="1"/>
  <c r="P13" i="1"/>
  <c r="P14" i="1"/>
  <c r="P15" i="1"/>
  <c r="P3" i="1"/>
  <c r="I6" i="1" l="1"/>
  <c r="I9" i="1"/>
  <c r="I15" i="1"/>
  <c r="L15" i="1" s="1"/>
  <c r="I3" i="1"/>
  <c r="L3" i="1" s="1"/>
  <c r="I11" i="1"/>
  <c r="L11" i="1" s="1"/>
  <c r="I7" i="1"/>
  <c r="L7" i="1" s="1"/>
  <c r="I10" i="1"/>
  <c r="L10" i="1" s="1"/>
  <c r="M12" i="1"/>
  <c r="L12" i="1"/>
  <c r="L9" i="1"/>
  <c r="M9" i="1"/>
  <c r="L6" i="1"/>
  <c r="I13" i="1"/>
  <c r="L13" i="1" s="1"/>
  <c r="I5" i="1"/>
  <c r="L5" i="1" s="1"/>
  <c r="I8" i="1"/>
  <c r="L8" i="1" s="1"/>
  <c r="I14" i="1"/>
  <c r="L14" i="1" s="1"/>
  <c r="M4" i="1"/>
  <c r="M15" i="1" l="1"/>
  <c r="M10" i="1"/>
  <c r="M7" i="1"/>
  <c r="M3" i="1"/>
  <c r="M11" i="1"/>
  <c r="M14" i="1"/>
  <c r="M5" i="1"/>
  <c r="M6" i="1"/>
  <c r="M13" i="1"/>
  <c r="M8" i="1"/>
  <c r="P2" i="1" l="1"/>
  <c r="N2" i="1"/>
  <c r="E2" i="1"/>
  <c r="D2" i="1"/>
  <c r="C2" i="1"/>
  <c r="Q2" i="1" s="1"/>
  <c r="B2" i="1"/>
  <c r="O2" i="1"/>
  <c r="J2" i="1"/>
  <c r="K2" i="1"/>
  <c r="F2" i="1"/>
  <c r="I2" i="1" l="1"/>
  <c r="B4" i="6" s="1"/>
  <c r="Z27" i="13"/>
  <c r="Z18" i="13"/>
  <c r="Z10" i="13"/>
  <c r="D4" i="6" l="1"/>
  <c r="E5" i="6" s="1"/>
  <c r="L2" i="1"/>
  <c r="M2" i="1"/>
  <c r="C18" i="13"/>
  <c r="D18" i="13" s="1"/>
  <c r="A18" i="13"/>
  <c r="C10" i="13"/>
  <c r="D29" i="13"/>
  <c r="F28" i="13"/>
  <c r="F27" i="13"/>
  <c r="F26" i="13"/>
  <c r="W27" i="13"/>
  <c r="N29" i="13"/>
  <c r="O29" i="13" s="1"/>
  <c r="P29" i="13" s="1"/>
  <c r="Q29" i="13" s="1"/>
  <c r="R29" i="13" s="1"/>
  <c r="S29" i="13" s="1"/>
  <c r="T29" i="13" s="1"/>
  <c r="U29" i="13" s="1"/>
  <c r="V29" i="13" s="1"/>
  <c r="M29" i="13"/>
  <c r="L29" i="13"/>
  <c r="M21" i="13"/>
  <c r="O21" i="13"/>
  <c r="Q21" i="13" s="1"/>
  <c r="S21" i="13" s="1"/>
  <c r="U21" i="13" s="1"/>
  <c r="N21" i="13"/>
  <c r="P21" i="13"/>
  <c r="R21" i="13"/>
  <c r="T21" i="13" s="1"/>
  <c r="V21" i="13" s="1"/>
  <c r="L21" i="13"/>
  <c r="J21" i="13"/>
  <c r="J29" i="13" s="1"/>
  <c r="F19" i="13"/>
  <c r="F20" i="13"/>
  <c r="W11" i="13"/>
  <c r="T13" i="13"/>
  <c r="U13" i="13" s="1"/>
  <c r="V13" i="13" s="1"/>
  <c r="O13" i="13"/>
  <c r="P13" i="13" s="1"/>
  <c r="Q13" i="13" s="1"/>
  <c r="R13" i="13" s="1"/>
  <c r="S13" i="13" s="1"/>
  <c r="N13" i="13"/>
  <c r="M13" i="13"/>
  <c r="L13" i="13"/>
  <c r="F12" i="13"/>
  <c r="F11" i="13"/>
  <c r="G2" i="13"/>
  <c r="G3" i="13"/>
  <c r="F4" i="13"/>
  <c r="F3" i="13"/>
  <c r="F2" i="13"/>
  <c r="M2" i="13"/>
  <c r="C27" i="13"/>
  <c r="D27" i="13" s="1"/>
  <c r="C19" i="13"/>
  <c r="D19" i="13" s="1"/>
  <c r="C11" i="13"/>
  <c r="D11" i="13" s="1"/>
  <c r="L2" i="13"/>
  <c r="C3" i="13"/>
  <c r="D3" i="13" s="1"/>
  <c r="C2" i="13"/>
  <c r="D2" i="13" s="1"/>
  <c r="D28" i="13"/>
  <c r="G28" i="13" s="1"/>
  <c r="B27" i="13"/>
  <c r="B28" i="13" s="1"/>
  <c r="C26" i="13"/>
  <c r="D20" i="13"/>
  <c r="B19" i="13"/>
  <c r="B20" i="13" s="1"/>
  <c r="D12" i="13"/>
  <c r="B11" i="13"/>
  <c r="B12" i="13" s="1"/>
  <c r="D10" i="13"/>
  <c r="F10" i="13" s="1"/>
  <c r="G10" i="13" s="1"/>
  <c r="D21" i="13" l="1"/>
  <c r="F18" i="13"/>
  <c r="G27" i="13"/>
  <c r="G20" i="13"/>
  <c r="G19" i="13"/>
  <c r="G12" i="13"/>
  <c r="C4" i="13"/>
  <c r="C29" i="13"/>
  <c r="D26" i="13"/>
  <c r="F13" i="13"/>
  <c r="D13" i="13"/>
  <c r="C13" i="13"/>
  <c r="C21" i="13"/>
  <c r="G11" i="13"/>
  <c r="J3" i="13"/>
  <c r="D4" i="13"/>
  <c r="N2" i="13" l="1"/>
  <c r="L3" i="13"/>
  <c r="F21" i="13"/>
  <c r="G18" i="13"/>
  <c r="G21" i="13" s="1"/>
  <c r="G4" i="13"/>
  <c r="G13" i="13"/>
  <c r="K67" i="8"/>
  <c r="L67" i="8"/>
  <c r="L68" i="8" s="1"/>
  <c r="F60" i="8"/>
  <c r="F59" i="8"/>
  <c r="F47" i="8"/>
  <c r="F48" i="8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H59" i="8"/>
  <c r="D60" i="8"/>
  <c r="D58" i="8"/>
  <c r="E58" i="8"/>
  <c r="E57" i="8"/>
  <c r="H48" i="8"/>
  <c r="H47" i="8"/>
  <c r="H50" i="8"/>
  <c r="I50" i="8" s="1"/>
  <c r="M50" i="8"/>
  <c r="E48" i="8"/>
  <c r="E47" i="8"/>
  <c r="M49" i="8"/>
  <c r="H49" i="8"/>
  <c r="H16" i="8"/>
  <c r="J17" i="8"/>
  <c r="I16" i="8"/>
  <c r="I17" i="8"/>
  <c r="H38" i="8"/>
  <c r="H37" i="8"/>
  <c r="H35" i="8"/>
  <c r="H36" i="8" s="1"/>
  <c r="H34" i="8"/>
  <c r="H33" i="8"/>
  <c r="H29" i="8"/>
  <c r="H30" i="8"/>
  <c r="H31" i="8" s="1"/>
  <c r="H32" i="8" s="1"/>
  <c r="H28" i="8"/>
  <c r="F17" i="8"/>
  <c r="F18" i="8"/>
  <c r="F19" i="8" s="1"/>
  <c r="F20" i="8" s="1"/>
  <c r="F21" i="8" s="1"/>
  <c r="F22" i="8" s="1"/>
  <c r="F23" i="8" s="1"/>
  <c r="F16" i="8"/>
  <c r="H17" i="8"/>
  <c r="F15" i="8"/>
  <c r="C16" i="8"/>
  <c r="D16" i="8"/>
  <c r="D15" i="8"/>
  <c r="F12" i="8"/>
  <c r="F13" i="8"/>
  <c r="E3" i="8"/>
  <c r="E10" i="8"/>
  <c r="F10" i="8"/>
  <c r="F3" i="8"/>
  <c r="C3" i="8"/>
  <c r="M48" i="8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J48" i="8"/>
  <c r="K48" i="8" s="1"/>
  <c r="K46" i="8"/>
  <c r="I46" i="8"/>
  <c r="F46" i="8"/>
  <c r="K45" i="8"/>
  <c r="J43" i="8"/>
  <c r="K43" i="8" s="1"/>
  <c r="J42" i="8"/>
  <c r="K42" i="8" s="1"/>
  <c r="J41" i="8"/>
  <c r="K41" i="8" s="1"/>
  <c r="J40" i="8"/>
  <c r="K40" i="8" s="1"/>
  <c r="J39" i="8"/>
  <c r="K39" i="8" s="1"/>
  <c r="K26" i="8"/>
  <c r="I26" i="8"/>
  <c r="F26" i="8"/>
  <c r="C26" i="8"/>
  <c r="E26" i="8" s="1"/>
  <c r="C27" i="8" s="1"/>
  <c r="N25" i="8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K25" i="8"/>
  <c r="I25" i="8"/>
  <c r="J23" i="8"/>
  <c r="K23" i="8" s="1"/>
  <c r="K22" i="8"/>
  <c r="J22" i="8"/>
  <c r="J21" i="8"/>
  <c r="K21" i="8" s="1"/>
  <c r="J20" i="8"/>
  <c r="K20" i="8" s="1"/>
  <c r="J19" i="8"/>
  <c r="K19" i="8" s="1"/>
  <c r="J18" i="8"/>
  <c r="K18" i="8" s="1"/>
  <c r="K17" i="8"/>
  <c r="D4" i="8"/>
  <c r="D5" i="8" s="1"/>
  <c r="D6" i="8" s="1"/>
  <c r="D7" i="8" s="1"/>
  <c r="D8" i="8" s="1"/>
  <c r="D9" i="8" s="1"/>
  <c r="D10" i="8" s="1"/>
  <c r="D11" i="8" s="1"/>
  <c r="D12" i="8" s="1"/>
  <c r="B4" i="8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H4" i="7"/>
  <c r="F4" i="7"/>
  <c r="E4" i="7"/>
  <c r="K13" i="7"/>
  <c r="L13" i="7" s="1"/>
  <c r="K12" i="7"/>
  <c r="L12" i="7" s="1"/>
  <c r="K11" i="7"/>
  <c r="L11" i="7" s="1"/>
  <c r="K10" i="7"/>
  <c r="L10" i="7" s="1"/>
  <c r="K9" i="7"/>
  <c r="L9" i="7" s="1"/>
  <c r="K8" i="7"/>
  <c r="L8" i="7" s="1"/>
  <c r="K7" i="7"/>
  <c r="L7" i="7" s="1"/>
  <c r="K6" i="7"/>
  <c r="L6" i="7" s="1"/>
  <c r="K5" i="7"/>
  <c r="L5" i="7" s="1"/>
  <c r="K4" i="7"/>
  <c r="L4" i="7" s="1"/>
  <c r="B5" i="7"/>
  <c r="B6" i="7" s="1"/>
  <c r="B7" i="7" s="1"/>
  <c r="B8" i="7" s="1"/>
  <c r="B9" i="7" s="1"/>
  <c r="B10" i="7" s="1"/>
  <c r="B11" i="7" s="1"/>
  <c r="B12" i="7" s="1"/>
  <c r="B13" i="7" s="1"/>
  <c r="L5" i="13" l="1"/>
  <c r="M3" i="13" s="1"/>
  <c r="O2" i="13"/>
  <c r="G26" i="13"/>
  <c r="G29" i="13" s="1"/>
  <c r="F29" i="13"/>
  <c r="D61" i="8"/>
  <c r="D62" i="8" s="1"/>
  <c r="D63" i="8" s="1"/>
  <c r="D64" i="8" s="1"/>
  <c r="D65" i="8" s="1"/>
  <c r="D66" i="8" s="1"/>
  <c r="D67" i="8" s="1"/>
  <c r="H51" i="8"/>
  <c r="H52" i="8" s="1"/>
  <c r="H53" i="8" s="1"/>
  <c r="H54" i="8" s="1"/>
  <c r="H55" i="8" s="1"/>
  <c r="H56" i="8" s="1"/>
  <c r="H57" i="8" s="1"/>
  <c r="H58" i="8" s="1"/>
  <c r="E39" i="8"/>
  <c r="F27" i="8"/>
  <c r="F28" i="8" s="1"/>
  <c r="D41" i="8"/>
  <c r="D42" i="8" s="1"/>
  <c r="D43" i="8" s="1"/>
  <c r="H39" i="8"/>
  <c r="H40" i="8" s="1"/>
  <c r="E27" i="8"/>
  <c r="C28" i="8" s="1"/>
  <c r="C47" i="8"/>
  <c r="F35" i="8"/>
  <c r="F39" i="8"/>
  <c r="E16" i="8"/>
  <c r="C17" i="8" s="1"/>
  <c r="C4" i="8"/>
  <c r="E4" i="8" s="1"/>
  <c r="C5" i="8" s="1"/>
  <c r="E5" i="8" s="1"/>
  <c r="C6" i="8" s="1"/>
  <c r="E6" i="8" s="1"/>
  <c r="C7" i="8" s="1"/>
  <c r="E7" i="8" s="1"/>
  <c r="C8" i="8" s="1"/>
  <c r="E8" i="8" s="1"/>
  <c r="C9" i="8" s="1"/>
  <c r="E9" i="8" s="1"/>
  <c r="C10" i="8" s="1"/>
  <c r="C11" i="8" s="1"/>
  <c r="E11" i="8" s="1"/>
  <c r="C12" i="8" s="1"/>
  <c r="E12" i="8" s="1"/>
  <c r="C13" i="8" s="1"/>
  <c r="F4" i="8"/>
  <c r="F5" i="8" s="1"/>
  <c r="F6" i="8" s="1"/>
  <c r="F7" i="8" s="1"/>
  <c r="F8" i="8" s="1"/>
  <c r="F9" i="8" s="1"/>
  <c r="F11" i="8" s="1"/>
  <c r="D13" i="8"/>
  <c r="D17" i="8" s="1"/>
  <c r="M6" i="13" l="1"/>
  <c r="M5" i="13"/>
  <c r="P2" i="13"/>
  <c r="N3" i="13"/>
  <c r="H60" i="8"/>
  <c r="H61" i="8" s="1"/>
  <c r="H62" i="8" s="1"/>
  <c r="H63" i="8" s="1"/>
  <c r="H64" i="8" s="1"/>
  <c r="H65" i="8" s="1"/>
  <c r="H66" i="8" s="1"/>
  <c r="H67" i="8" s="1"/>
  <c r="E28" i="8"/>
  <c r="C29" i="8" s="1"/>
  <c r="E29" i="8" s="1"/>
  <c r="C30" i="8" s="1"/>
  <c r="E30" i="8" s="1"/>
  <c r="H41" i="8"/>
  <c r="H42" i="8" s="1"/>
  <c r="H43" i="8" s="1"/>
  <c r="C48" i="8"/>
  <c r="E17" i="8"/>
  <c r="C18" i="8" s="1"/>
  <c r="I48" i="8"/>
  <c r="E13" i="8"/>
  <c r="C15" i="8" s="1"/>
  <c r="E15" i="8" s="1"/>
  <c r="I49" i="8"/>
  <c r="F29" i="8"/>
  <c r="D18" i="8"/>
  <c r="D19" i="8" s="1"/>
  <c r="D20" i="8" s="1"/>
  <c r="D21" i="8" s="1"/>
  <c r="D22" i="8" s="1"/>
  <c r="D23" i="8" s="1"/>
  <c r="J5" i="4"/>
  <c r="A5" i="4"/>
  <c r="N5" i="13" l="1"/>
  <c r="O3" i="13" s="1"/>
  <c r="Q2" i="13"/>
  <c r="J10" i="13" s="1"/>
  <c r="C49" i="8"/>
  <c r="C31" i="8"/>
  <c r="E31" i="8" s="1"/>
  <c r="E18" i="8"/>
  <c r="C19" i="8" s="1"/>
  <c r="E19" i="8" s="1"/>
  <c r="C20" i="8" s="1"/>
  <c r="E20" i="8" s="1"/>
  <c r="C21" i="8" s="1"/>
  <c r="E21" i="8" s="1"/>
  <c r="C22" i="8" s="1"/>
  <c r="E22" i="8" s="1"/>
  <c r="C23" i="8" s="1"/>
  <c r="E23" i="8" s="1"/>
  <c r="F30" i="8"/>
  <c r="D5" i="4"/>
  <c r="R2" i="13" l="1"/>
  <c r="O6" i="13"/>
  <c r="O5" i="13"/>
  <c r="P3" i="13" s="1"/>
  <c r="G5" i="4"/>
  <c r="C50" i="8"/>
  <c r="E50" i="8" s="1"/>
  <c r="C51" i="8" s="1"/>
  <c r="E51" i="8" s="1"/>
  <c r="E49" i="8"/>
  <c r="C32" i="8"/>
  <c r="E32" i="8" s="1"/>
  <c r="H18" i="8"/>
  <c r="I18" i="8" s="1"/>
  <c r="I51" i="8"/>
  <c r="H19" i="8"/>
  <c r="I19" i="8" s="1"/>
  <c r="F31" i="8"/>
  <c r="P6" i="13" l="1"/>
  <c r="P5" i="13"/>
  <c r="S3" i="13" s="1"/>
  <c r="L10" i="13"/>
  <c r="J11" i="13"/>
  <c r="J12" i="13" s="1"/>
  <c r="J14" i="13" s="1"/>
  <c r="P5" i="4"/>
  <c r="M5" i="4" s="1"/>
  <c r="C33" i="8"/>
  <c r="E33" i="8" s="1"/>
  <c r="C52" i="8"/>
  <c r="E52" i="8" s="1"/>
  <c r="H20" i="8"/>
  <c r="I20" i="8" s="1"/>
  <c r="I52" i="8"/>
  <c r="F32" i="8"/>
  <c r="M10" i="13" l="1"/>
  <c r="M11" i="13" s="1"/>
  <c r="M12" i="13" s="1"/>
  <c r="M14" i="13" s="1"/>
  <c r="Q6" i="13"/>
  <c r="Q5" i="13"/>
  <c r="E34" i="8"/>
  <c r="C53" i="8"/>
  <c r="E53" i="8" s="1"/>
  <c r="F33" i="8"/>
  <c r="F34" i="8" s="1"/>
  <c r="I53" i="8"/>
  <c r="H21" i="8"/>
  <c r="I21" i="8" s="1"/>
  <c r="N10" i="13" l="1"/>
  <c r="O10" i="13" s="1"/>
  <c r="P10" i="13" s="1"/>
  <c r="Q10" i="13" s="1"/>
  <c r="R10" i="13" s="1"/>
  <c r="R11" i="13"/>
  <c r="R12" i="13" s="1"/>
  <c r="R14" i="13" s="1"/>
  <c r="S10" i="13"/>
  <c r="C35" i="8"/>
  <c r="E35" i="8"/>
  <c r="C54" i="8"/>
  <c r="E54" i="8" s="1"/>
  <c r="C36" i="8"/>
  <c r="E36" i="8" s="1"/>
  <c r="H23" i="8"/>
  <c r="I23" i="8" s="1"/>
  <c r="H22" i="8"/>
  <c r="I22" i="8" s="1"/>
  <c r="I54" i="8"/>
  <c r="T10" i="13" l="1"/>
  <c r="S11" i="13"/>
  <c r="S12" i="13" s="1"/>
  <c r="S14" i="13" s="1"/>
  <c r="E55" i="8"/>
  <c r="C37" i="8"/>
  <c r="E37" i="8" s="1"/>
  <c r="I55" i="8"/>
  <c r="U10" i="13" l="1"/>
  <c r="T11" i="13"/>
  <c r="T12" i="13" s="1"/>
  <c r="T14" i="13" s="1"/>
  <c r="C56" i="8"/>
  <c r="E56" i="8" s="1"/>
  <c r="C38" i="8"/>
  <c r="E38" i="8" s="1"/>
  <c r="F36" i="8"/>
  <c r="I56" i="8"/>
  <c r="V10" i="13" l="1"/>
  <c r="U11" i="13"/>
  <c r="U12" i="13" s="1"/>
  <c r="U14" i="13" s="1"/>
  <c r="C40" i="8"/>
  <c r="E40" i="8" s="1"/>
  <c r="C57" i="8"/>
  <c r="I57" i="8"/>
  <c r="F37" i="8"/>
  <c r="V11" i="13" l="1"/>
  <c r="V12" i="13" s="1"/>
  <c r="V14" i="13" s="1"/>
  <c r="W10" i="13"/>
  <c r="J18" i="13"/>
  <c r="C58" i="8"/>
  <c r="C41" i="8"/>
  <c r="E41" i="8" s="1"/>
  <c r="I58" i="8"/>
  <c r="F38" i="8"/>
  <c r="J19" i="13" l="1"/>
  <c r="L18" i="13"/>
  <c r="M18" i="13" s="1"/>
  <c r="M19" i="13" s="1"/>
  <c r="M20" i="13" s="1"/>
  <c r="M22" i="13" s="1"/>
  <c r="C42" i="8"/>
  <c r="E42" i="8" s="1"/>
  <c r="E59" i="8"/>
  <c r="I59" i="8"/>
  <c r="I38" i="8"/>
  <c r="J20" i="13" l="1"/>
  <c r="J22" i="13" s="1"/>
  <c r="L19" i="13"/>
  <c r="L20" i="13" s="1"/>
  <c r="L22" i="13" s="1"/>
  <c r="C60" i="8"/>
  <c r="E60" i="8" s="1"/>
  <c r="C43" i="8"/>
  <c r="E43" i="8" s="1"/>
  <c r="F40" i="8"/>
  <c r="I39" i="8"/>
  <c r="I60" i="8"/>
  <c r="F61" i="8"/>
  <c r="N18" i="13" l="1"/>
  <c r="C61" i="8"/>
  <c r="E61" i="8" s="1"/>
  <c r="I61" i="8"/>
  <c r="F62" i="8"/>
  <c r="F41" i="8"/>
  <c r="I40" i="8"/>
  <c r="O18" i="13" l="1"/>
  <c r="N19" i="13"/>
  <c r="C62" i="8"/>
  <c r="E62" i="8" s="1"/>
  <c r="I62" i="8"/>
  <c r="F63" i="8"/>
  <c r="F42" i="8"/>
  <c r="F43" i="8" s="1"/>
  <c r="I41" i="8"/>
  <c r="N20" i="13" l="1"/>
  <c r="N22" i="13" s="1"/>
  <c r="P18" i="13"/>
  <c r="O19" i="13"/>
  <c r="O20" i="13" s="1"/>
  <c r="O22" i="13" s="1"/>
  <c r="C63" i="8"/>
  <c r="E63" i="8" s="1"/>
  <c r="I43" i="8"/>
  <c r="I42" i="8"/>
  <c r="I63" i="8"/>
  <c r="F64" i="8"/>
  <c r="Q18" i="13" l="1"/>
  <c r="P19" i="13"/>
  <c r="C64" i="8"/>
  <c r="E64" i="8" s="1"/>
  <c r="F65" i="8"/>
  <c r="I64" i="8"/>
  <c r="P20" i="13" l="1"/>
  <c r="P22" i="13" s="1"/>
  <c r="R18" i="13"/>
  <c r="Q19" i="13"/>
  <c r="C65" i="8"/>
  <c r="E65" i="8" s="1"/>
  <c r="F66" i="8"/>
  <c r="I65" i="8"/>
  <c r="Q20" i="13" l="1"/>
  <c r="Q22" i="13" s="1"/>
  <c r="S18" i="13"/>
  <c r="R19" i="13"/>
  <c r="R20" i="13" s="1"/>
  <c r="R22" i="13" s="1"/>
  <c r="C66" i="8"/>
  <c r="E66" i="8" s="1"/>
  <c r="I66" i="8"/>
  <c r="F67" i="8"/>
  <c r="I67" i="8" s="1"/>
  <c r="S19" i="13" l="1"/>
  <c r="T18" i="13"/>
  <c r="C67" i="8"/>
  <c r="E67" i="8" s="1"/>
  <c r="S20" i="13" l="1"/>
  <c r="S22" i="13" s="1"/>
  <c r="U18" i="13"/>
  <c r="T19" i="13"/>
  <c r="T20" i="13" s="1"/>
  <c r="T22" i="13" s="1"/>
  <c r="D5" i="7"/>
  <c r="D6" i="7" s="1"/>
  <c r="D7" i="7" s="1"/>
  <c r="D8" i="7" s="1"/>
  <c r="D9" i="7" s="1"/>
  <c r="D10" i="7" s="1"/>
  <c r="D11" i="7" s="1"/>
  <c r="D12" i="7" s="1"/>
  <c r="D13" i="7" s="1"/>
  <c r="C5" i="7"/>
  <c r="V18" i="13" l="1"/>
  <c r="J26" i="13" s="1"/>
  <c r="U19" i="13"/>
  <c r="U20" i="13" s="1"/>
  <c r="U22" i="13" s="1"/>
  <c r="E5" i="7"/>
  <c r="C6" i="7" s="1"/>
  <c r="E6" i="7" s="1"/>
  <c r="C7" i="7" s="1"/>
  <c r="E7" i="7" s="1"/>
  <c r="C8" i="7" s="1"/>
  <c r="E8" i="7" s="1"/>
  <c r="C9" i="7" s="1"/>
  <c r="E9" i="7" s="1"/>
  <c r="C10" i="7" s="1"/>
  <c r="E10" i="7" s="1"/>
  <c r="C11" i="7" s="1"/>
  <c r="E11" i="7" s="1"/>
  <c r="C12" i="7" s="1"/>
  <c r="E12" i="7" s="1"/>
  <c r="C13" i="7" s="1"/>
  <c r="E13" i="7" s="1"/>
  <c r="J4" i="7"/>
  <c r="F5" i="7"/>
  <c r="J27" i="13" l="1"/>
  <c r="L26" i="13"/>
  <c r="M26" i="13" s="1"/>
  <c r="M27" i="13" s="1"/>
  <c r="M28" i="13" s="1"/>
  <c r="M30" i="13" s="1"/>
  <c r="W18" i="13"/>
  <c r="V19" i="13"/>
  <c r="W19" i="13" s="1"/>
  <c r="I5" i="7"/>
  <c r="J5" i="7" s="1"/>
  <c r="H5" i="7"/>
  <c r="F6" i="7"/>
  <c r="J28" i="13" l="1"/>
  <c r="J30" i="13" s="1"/>
  <c r="L27" i="13"/>
  <c r="L28" i="13" s="1"/>
  <c r="L30" i="13" s="1"/>
  <c r="V20" i="13"/>
  <c r="V22" i="13" s="1"/>
  <c r="X19" i="13"/>
  <c r="F7" i="7"/>
  <c r="H6" i="7"/>
  <c r="I6" i="7"/>
  <c r="J6" i="7" s="1"/>
  <c r="N26" i="13" l="1"/>
  <c r="I7" i="7"/>
  <c r="J7" i="7" s="1"/>
  <c r="F8" i="7"/>
  <c r="H7" i="7"/>
  <c r="O26" i="13" l="1"/>
  <c r="N27" i="13"/>
  <c r="H8" i="7"/>
  <c r="F9" i="7"/>
  <c r="I8" i="7"/>
  <c r="J8" i="7" s="1"/>
  <c r="N28" i="13" l="1"/>
  <c r="N30" i="13" s="1"/>
  <c r="O27" i="13"/>
  <c r="O28" i="13" s="1"/>
  <c r="O30" i="13" s="1"/>
  <c r="P26" i="13"/>
  <c r="F10" i="7"/>
  <c r="H9" i="7"/>
  <c r="I9" i="7"/>
  <c r="J9" i="7" s="1"/>
  <c r="P27" i="13" l="1"/>
  <c r="Q26" i="13"/>
  <c r="F11" i="7"/>
  <c r="I10" i="7"/>
  <c r="J10" i="7" s="1"/>
  <c r="H10" i="7"/>
  <c r="P28" i="13" l="1"/>
  <c r="P30" i="13" s="1"/>
  <c r="Q27" i="13"/>
  <c r="R26" i="13"/>
  <c r="I11" i="7"/>
  <c r="J11" i="7" s="1"/>
  <c r="H11" i="7"/>
  <c r="F12" i="7"/>
  <c r="S26" i="13" l="1"/>
  <c r="R27" i="13"/>
  <c r="R28" i="13" s="1"/>
  <c r="R30" i="13" s="1"/>
  <c r="Q28" i="13"/>
  <c r="Q30" i="13" s="1"/>
  <c r="H12" i="7"/>
  <c r="F13" i="7"/>
  <c r="I12" i="7"/>
  <c r="J12" i="7" s="1"/>
  <c r="T26" i="13" l="1"/>
  <c r="S27" i="13"/>
  <c r="S28" i="13" s="1"/>
  <c r="S30" i="13" s="1"/>
  <c r="I13" i="7"/>
  <c r="J13" i="7" s="1"/>
  <c r="H13" i="7"/>
  <c r="P11" i="13"/>
  <c r="P12" i="13" s="1"/>
  <c r="P14" i="13" s="1"/>
  <c r="N11" i="13"/>
  <c r="N12" i="13" s="1"/>
  <c r="N14" i="13" s="1"/>
  <c r="Q11" i="13"/>
  <c r="Q12" i="13" s="1"/>
  <c r="Q14" i="13" s="1"/>
  <c r="L11" i="13"/>
  <c r="O11" i="13"/>
  <c r="O12" i="13" s="1"/>
  <c r="O14" i="13" s="1"/>
  <c r="U26" i="13" l="1"/>
  <c r="T27" i="13"/>
  <c r="T28" i="13" s="1"/>
  <c r="T30" i="13" s="1"/>
  <c r="L12" i="13"/>
  <c r="L14" i="13" s="1"/>
  <c r="X11" i="13"/>
  <c r="V26" i="13" l="1"/>
  <c r="U27" i="13"/>
  <c r="U28" i="13" s="1"/>
  <c r="U30" i="13" s="1"/>
  <c r="V27" i="13" l="1"/>
  <c r="W26" i="13"/>
  <c r="V28" i="13" l="1"/>
  <c r="V30" i="13" s="1"/>
  <c r="X27" i="13"/>
  <c r="C5" i="6" l="1"/>
  <c r="D5" i="6"/>
  <c r="E6" i="6" s="1"/>
  <c r="D6" i="6" l="1"/>
  <c r="E7" i="6" l="1"/>
  <c r="D7" i="6"/>
  <c r="C6" i="6"/>
  <c r="C7" i="6" s="1"/>
  <c r="C8" i="6" s="1"/>
  <c r="E8" i="6" l="1"/>
  <c r="D8" i="6"/>
  <c r="E9" i="6" s="1"/>
  <c r="B9" i="6"/>
  <c r="C9" i="6" s="1"/>
  <c r="D9" i="6" l="1"/>
  <c r="E10" i="6" s="1"/>
  <c r="B10" i="6" l="1"/>
  <c r="C10" i="6" s="1"/>
  <c r="D10" i="6" l="1"/>
  <c r="E11" i="6" l="1"/>
  <c r="B11" i="6" s="1"/>
  <c r="C11" i="6" l="1"/>
  <c r="D11" i="6"/>
  <c r="E12" i="6" s="1"/>
  <c r="B12" i="6" l="1"/>
  <c r="C12" i="6" l="1"/>
  <c r="D12" i="6"/>
  <c r="E13" i="6" s="1"/>
  <c r="B13" i="6" l="1"/>
  <c r="D13" i="6" l="1"/>
  <c r="E14" i="6" s="1"/>
  <c r="C13" i="6"/>
  <c r="B14" i="6" l="1"/>
  <c r="C14" i="6" s="1"/>
  <c r="D14" i="6" l="1"/>
  <c r="E15" i="6" l="1"/>
  <c r="B15" i="6" s="1"/>
  <c r="D15" i="6" s="1"/>
  <c r="E16" i="6" s="1"/>
  <c r="C15" i="6" l="1"/>
  <c r="B16" i="6"/>
  <c r="D16" i="6" l="1"/>
  <c r="E17" i="6" s="1"/>
  <c r="C16" i="6"/>
  <c r="B17" i="6" l="1"/>
  <c r="C17" i="6" l="1"/>
  <c r="D17" i="6"/>
  <c r="E18" i="6" s="1"/>
  <c r="B18" i="6" l="1"/>
  <c r="D18" i="6" l="1"/>
  <c r="E19" i="6" s="1"/>
  <c r="C18" i="6"/>
  <c r="B19" i="6" l="1"/>
  <c r="C19" i="6" l="1"/>
  <c r="D19" i="6"/>
  <c r="E20" i="6" s="1"/>
  <c r="B20" i="6" l="1"/>
  <c r="D20" i="6" l="1"/>
  <c r="E21" i="6" s="1"/>
  <c r="C20" i="6"/>
  <c r="B21" i="6" l="1"/>
  <c r="C21" i="6" l="1"/>
  <c r="D21" i="6"/>
  <c r="E22" i="6" s="1"/>
  <c r="B22" i="6" l="1"/>
  <c r="D22" i="6" l="1"/>
  <c r="E23" i="6" s="1"/>
  <c r="C22" i="6"/>
  <c r="B23" i="6" l="1"/>
  <c r="C23" i="6" l="1"/>
  <c r="D23" i="6"/>
  <c r="E24" i="6" s="1"/>
  <c r="B24" i="6" l="1"/>
  <c r="D24" i="6" l="1"/>
  <c r="E25" i="6" s="1"/>
  <c r="C24" i="6"/>
  <c r="B25" i="6" l="1"/>
  <c r="C25" i="6" l="1"/>
  <c r="D25" i="6"/>
  <c r="E26" i="6" s="1"/>
  <c r="B26" i="6" l="1"/>
  <c r="D26" i="6" l="1"/>
  <c r="E27" i="6" s="1"/>
  <c r="C26" i="6"/>
  <c r="B27" i="6" l="1"/>
  <c r="C27" i="6" l="1"/>
  <c r="D27" i="6"/>
  <c r="E28" i="6" s="1"/>
  <c r="B28" i="6" l="1"/>
  <c r="C28" i="6" l="1"/>
  <c r="D28" i="6"/>
  <c r="E29" i="6" s="1"/>
  <c r="B29" i="6" l="1"/>
  <c r="C29" i="6" l="1"/>
  <c r="D29" i="6"/>
  <c r="E30" i="6" s="1"/>
  <c r="B30" i="6" l="1"/>
  <c r="C30" i="6" l="1"/>
  <c r="D30" i="6"/>
  <c r="E31" i="6" s="1"/>
  <c r="B31" i="6" l="1"/>
  <c r="C31" i="6" l="1"/>
  <c r="D31" i="6"/>
  <c r="E32" i="6" s="1"/>
  <c r="B32" i="6" l="1"/>
  <c r="C32" i="6" l="1"/>
  <c r="D32" i="6"/>
  <c r="E33" i="6" s="1"/>
  <c r="B33" i="6" l="1"/>
  <c r="C33" i="6" l="1"/>
  <c r="D33" i="6"/>
  <c r="E34" i="6" s="1"/>
  <c r="B34" i="6" l="1"/>
  <c r="C34" i="6" l="1"/>
  <c r="D34" i="6"/>
</calcChain>
</file>

<file path=xl/sharedStrings.xml><?xml version="1.0" encoding="utf-8"?>
<sst xmlns="http://schemas.openxmlformats.org/spreadsheetml/2006/main" count="975" uniqueCount="302">
  <si>
    <t>id</t>
  </si>
  <si>
    <t>entryDate</t>
  </si>
  <si>
    <t>exitDate</t>
  </si>
  <si>
    <t>type</t>
  </si>
  <si>
    <t>symbol</t>
  </si>
  <si>
    <t>entryPrice</t>
  </si>
  <si>
    <t>exitPrice</t>
  </si>
  <si>
    <t>gainAmount</t>
  </si>
  <si>
    <t>quantity</t>
  </si>
  <si>
    <t>fees</t>
  </si>
  <si>
    <t>gainPercent</t>
  </si>
  <si>
    <t>tradeCount</t>
  </si>
  <si>
    <t>entryDateTime</t>
  </si>
  <si>
    <t>exitDateTime</t>
  </si>
  <si>
    <t>Extra2</t>
  </si>
  <si>
    <t>Extra3</t>
  </si>
  <si>
    <t>Extra4</t>
  </si>
  <si>
    <t>Extra5</t>
  </si>
  <si>
    <t>Extra6</t>
  </si>
  <si>
    <t>Extra7</t>
  </si>
  <si>
    <t>Extra8</t>
  </si>
  <si>
    <t>Extra9</t>
  </si>
  <si>
    <t>Extra10</t>
  </si>
  <si>
    <t>Extra11</t>
  </si>
  <si>
    <t>Extra12</t>
  </si>
  <si>
    <t>Extra13</t>
  </si>
  <si>
    <t>Extra14</t>
  </si>
  <si>
    <t>Extra15</t>
  </si>
  <si>
    <t>Extra16</t>
  </si>
  <si>
    <t>Extra17</t>
  </si>
  <si>
    <t>Extra18</t>
  </si>
  <si>
    <t>Extra19</t>
  </si>
  <si>
    <t>Extra20</t>
  </si>
  <si>
    <t>Row Labels</t>
  </si>
  <si>
    <t>Grand Total</t>
  </si>
  <si>
    <t>Sum of gainAmount</t>
  </si>
  <si>
    <t>Count of id</t>
  </si>
  <si>
    <t>accProfit</t>
  </si>
  <si>
    <t>Daily PnL</t>
  </si>
  <si>
    <t>Accumulated Profit</t>
  </si>
  <si>
    <t>Winning trades %</t>
  </si>
  <si>
    <t>Average of gainAmount</t>
  </si>
  <si>
    <t>Total profit</t>
  </si>
  <si>
    <t>Total trades</t>
  </si>
  <si>
    <t>Long/Short</t>
  </si>
  <si>
    <t>Wins</t>
  </si>
  <si>
    <t>Average gain / trade</t>
  </si>
  <si>
    <t>Avg gain / trade</t>
  </si>
  <si>
    <t>PnL</t>
  </si>
  <si>
    <t>Total PnL</t>
  </si>
  <si>
    <t>Symbol</t>
  </si>
  <si>
    <t>Top symbols by PnL</t>
  </si>
  <si>
    <t>Top symbols by Gain %</t>
  </si>
  <si>
    <t>Time</t>
  </si>
  <si>
    <t>Type</t>
  </si>
  <si>
    <t>Profit</t>
  </si>
  <si>
    <t>NAS100.raw</t>
  </si>
  <si>
    <t>1</t>
  </si>
  <si>
    <t>buy</t>
  </si>
  <si>
    <t>Win</t>
  </si>
  <si>
    <t>0</t>
  </si>
  <si>
    <t>Win Rate</t>
  </si>
  <si>
    <t>Top Up</t>
  </si>
  <si>
    <t>Total</t>
  </si>
  <si>
    <t>Opening Balance</t>
  </si>
  <si>
    <t>ID</t>
  </si>
  <si>
    <t>Prior Day Score</t>
  </si>
  <si>
    <t>Today's Target</t>
  </si>
  <si>
    <t>Max Profit</t>
  </si>
  <si>
    <t>Funded 1</t>
  </si>
  <si>
    <t>Verification 1</t>
  </si>
  <si>
    <t>Verification 2</t>
  </si>
  <si>
    <t>Verification 3</t>
  </si>
  <si>
    <t>Verification 4</t>
  </si>
  <si>
    <t>Challenge 1</t>
  </si>
  <si>
    <t>Challenge 2</t>
  </si>
  <si>
    <t>Challenge 3</t>
  </si>
  <si>
    <t>Challenge 4</t>
  </si>
  <si>
    <t>Challenge 5</t>
  </si>
  <si>
    <t>Challenge 6</t>
  </si>
  <si>
    <t>Challenge 7</t>
  </si>
  <si>
    <t>Challenge 8</t>
  </si>
  <si>
    <t>Funded 2</t>
  </si>
  <si>
    <t>Funded 3</t>
  </si>
  <si>
    <t>Funded 4</t>
  </si>
  <si>
    <t>Funded 5</t>
  </si>
  <si>
    <t>Funded 6</t>
  </si>
  <si>
    <t>Funded 7</t>
  </si>
  <si>
    <t>Funded 8</t>
  </si>
  <si>
    <t>Funded 13</t>
  </si>
  <si>
    <t>Funded 14</t>
  </si>
  <si>
    <t>Funded 15</t>
  </si>
  <si>
    <t>Funded 16</t>
  </si>
  <si>
    <t>Funded 17</t>
  </si>
  <si>
    <t>Funded 18</t>
  </si>
  <si>
    <t>Funded 19</t>
  </si>
  <si>
    <t>Funded 20</t>
  </si>
  <si>
    <t>Funded 21</t>
  </si>
  <si>
    <t>Funded 22</t>
  </si>
  <si>
    <t>Funded 23</t>
  </si>
  <si>
    <t>Withdrawable $</t>
  </si>
  <si>
    <t>Withdrawable Ksh</t>
  </si>
  <si>
    <t>Todays Gross profits</t>
  </si>
  <si>
    <t>Expected $</t>
  </si>
  <si>
    <t>Expected Ksh</t>
  </si>
  <si>
    <t>bot1</t>
  </si>
  <si>
    <t>bot2</t>
  </si>
  <si>
    <t>bot3</t>
  </si>
  <si>
    <t>bot4</t>
  </si>
  <si>
    <t>bot5</t>
  </si>
  <si>
    <t>bot6</t>
  </si>
  <si>
    <t>bot7</t>
  </si>
  <si>
    <t>bot8</t>
  </si>
  <si>
    <t>bot9</t>
  </si>
  <si>
    <t>bot10</t>
  </si>
  <si>
    <t>REVIIEW DAY</t>
  </si>
  <si>
    <t>Withdraw 1</t>
  </si>
  <si>
    <t>Funded 7 Request Payout</t>
  </si>
  <si>
    <t>Withdraw 2</t>
  </si>
  <si>
    <t>10K Account</t>
  </si>
  <si>
    <t>+</t>
  </si>
  <si>
    <t>25K Account</t>
  </si>
  <si>
    <t>50K Account</t>
  </si>
  <si>
    <t>10K Yields</t>
  </si>
  <si>
    <t>85k Yields</t>
  </si>
  <si>
    <t>Bot FTMO</t>
  </si>
  <si>
    <t>2026.01.12 17:12:32</t>
  </si>
  <si>
    <t>2026.01.12 17:58:39</t>
  </si>
  <si>
    <t>2026.01.12 17:26:30</t>
  </si>
  <si>
    <t>2026.01.12 17:32:21</t>
  </si>
  <si>
    <t>2026.01.12 17:33:50</t>
  </si>
  <si>
    <t>2026.01.12 17:57:30</t>
  </si>
  <si>
    <t>Count of gainPercent</t>
  </si>
  <si>
    <t>Loss</t>
  </si>
  <si>
    <t>(blank)</t>
  </si>
  <si>
    <t>XAUUSD.raw</t>
  </si>
  <si>
    <t>Total Expected</t>
  </si>
  <si>
    <t>Target</t>
  </si>
  <si>
    <t>Move to a 2 bedrom house</t>
  </si>
  <si>
    <t>December</t>
  </si>
  <si>
    <t>Amount/Year Ksh</t>
  </si>
  <si>
    <t>Amount/Year $</t>
  </si>
  <si>
    <t>Bal Months</t>
  </si>
  <si>
    <t>Amount/Month</t>
  </si>
  <si>
    <t>Amount/Day</t>
  </si>
  <si>
    <t>Monthly Expenses</t>
  </si>
  <si>
    <t>Goals 2027</t>
  </si>
  <si>
    <t>Goals 2028</t>
  </si>
  <si>
    <t>Buy Settlement Land</t>
  </si>
  <si>
    <t>Buy New Car - 7 seater</t>
  </si>
  <si>
    <t>Goals 2029</t>
  </si>
  <si>
    <t>Goals 2030</t>
  </si>
  <si>
    <t>Build Dream Home</t>
  </si>
  <si>
    <t>June</t>
  </si>
  <si>
    <t>Month</t>
  </si>
  <si>
    <t>Account Size</t>
  </si>
  <si>
    <t>Target/Month</t>
  </si>
  <si>
    <t>Target/Day</t>
  </si>
  <si>
    <t>July</t>
  </si>
  <si>
    <t>% Target</t>
  </si>
  <si>
    <t>August</t>
  </si>
  <si>
    <t>September</t>
  </si>
  <si>
    <t>October</t>
  </si>
  <si>
    <t>November</t>
  </si>
  <si>
    <t>January</t>
  </si>
  <si>
    <t>February</t>
  </si>
  <si>
    <t>March</t>
  </si>
  <si>
    <t>April</t>
  </si>
  <si>
    <t>May</t>
  </si>
  <si>
    <t>Risk % Ideal/Day</t>
  </si>
  <si>
    <t>Risk % Actual/Day</t>
  </si>
  <si>
    <t>Week 1 -  2</t>
  </si>
  <si>
    <t>Trade to Pass Phase 1 and 2</t>
  </si>
  <si>
    <t>Week 3 - 4</t>
  </si>
  <si>
    <t>Trade to earn from the Funded Account</t>
  </si>
  <si>
    <t>MONTHLY TRADING MODEL</t>
  </si>
  <si>
    <t>Week 1</t>
  </si>
  <si>
    <t>Week 2</t>
  </si>
  <si>
    <t>Pass Phase 1</t>
  </si>
  <si>
    <t>Earn on Funded 50%</t>
  </si>
  <si>
    <t>Week 3 - $237</t>
  </si>
  <si>
    <t>Week 4 - $237</t>
  </si>
  <si>
    <t>Move to a 3 bedrom house</t>
  </si>
  <si>
    <t>COUNT DOWN</t>
  </si>
  <si>
    <t>2026.05.29 15:12:07</t>
  </si>
  <si>
    <t>30 294.15</t>
  </si>
  <si>
    <t>30 248.11</t>
  </si>
  <si>
    <t>30 325.26</t>
  </si>
  <si>
    <t>2026.05.29 15:57:04</t>
  </si>
  <si>
    <t>30 312.13</t>
  </si>
  <si>
    <t>2026.05.29 15:17:36</t>
  </si>
  <si>
    <t>30 289.34</t>
  </si>
  <si>
    <t>30 244.57</t>
  </si>
  <si>
    <t>30 325.94</t>
  </si>
  <si>
    <t>2026.05.29 15:33:34</t>
  </si>
  <si>
    <t>30 265.55</t>
  </si>
  <si>
    <t>30 244.69</t>
  </si>
  <si>
    <t>30 325.60</t>
  </si>
  <si>
    <t>30 244.45</t>
  </si>
  <si>
    <t>30 325.77</t>
  </si>
  <si>
    <t>2026.05.29 16:35:51</t>
  </si>
  <si>
    <t>sell</t>
  </si>
  <si>
    <t>4 522.82</t>
  </si>
  <si>
    <t>4 545.57</t>
  </si>
  <si>
    <t>4 510.86</t>
  </si>
  <si>
    <t>2026.05.29 17:01:59</t>
  </si>
  <si>
    <t>4 545.89</t>
  </si>
  <si>
    <t>2026.05.29 16:37:48</t>
  </si>
  <si>
    <t>4 526.91</t>
  </si>
  <si>
    <t>4 510.76</t>
  </si>
  <si>
    <t>4 545.77</t>
  </si>
  <si>
    <t>2026.05.29 16:38:59</t>
  </si>
  <si>
    <t>4 533.02</t>
  </si>
  <si>
    <t>4 545.51</t>
  </si>
  <si>
    <t>4 510.95</t>
  </si>
  <si>
    <t>4 545.90</t>
  </si>
  <si>
    <t>2026.05.29 16:53:50</t>
  </si>
  <si>
    <t>4 537.84</t>
  </si>
  <si>
    <t>4 511.02</t>
  </si>
  <si>
    <t>2026.05.29 17:00:36</t>
  </si>
  <si>
    <t>4 537.54</t>
  </si>
  <si>
    <t>4 547.67</t>
  </si>
  <si>
    <t>4 522.72</t>
  </si>
  <si>
    <t>2026.05.29 17:02:01</t>
  </si>
  <si>
    <t>4 546.42</t>
  </si>
  <si>
    <t>2026.05.29 17:13:37</t>
  </si>
  <si>
    <t>4 547.02</t>
  </si>
  <si>
    <t>4 534.86</t>
  </si>
  <si>
    <t>4 570.35</t>
  </si>
  <si>
    <t>2026.05.29 17:20:57</t>
  </si>
  <si>
    <t>4 538.77</t>
  </si>
  <si>
    <t>2026.05.29 17:17:56</t>
  </si>
  <si>
    <t>4 542.91</t>
  </si>
  <si>
    <t>4 535.04</t>
  </si>
  <si>
    <t>2026.05.29 17:21:48</t>
  </si>
  <si>
    <t>4 537.95</t>
  </si>
  <si>
    <t>2026.05.29 17:19:06</t>
  </si>
  <si>
    <t>4 540.06</t>
  </si>
  <si>
    <t>4 570.63</t>
  </si>
  <si>
    <t>2026.05.29 17:22:09</t>
  </si>
  <si>
    <t>4 536.88</t>
  </si>
  <si>
    <t>2026.05.29 17:45:01</t>
  </si>
  <si>
    <t>4 540.08</t>
  </si>
  <si>
    <t>4 550.34</t>
  </si>
  <si>
    <t>4 524.98</t>
  </si>
  <si>
    <t>2026.05.29 17:52:07</t>
  </si>
  <si>
    <t>4 549.10</t>
  </si>
  <si>
    <t>2026.05.29 17:45:39</t>
  </si>
  <si>
    <t>4 539.62</t>
  </si>
  <si>
    <t>4 550.71</t>
  </si>
  <si>
    <t>4 525.05</t>
  </si>
  <si>
    <t>Position</t>
  </si>
  <si>
    <t>Volume</t>
  </si>
  <si>
    <t>Price</t>
  </si>
  <si>
    <t>S / L</t>
  </si>
  <si>
    <t>T / P</t>
  </si>
  <si>
    <t>Commission</t>
  </si>
  <si>
    <t>Swap</t>
  </si>
  <si>
    <t>Date only</t>
  </si>
  <si>
    <t>Dates</t>
  </si>
  <si>
    <t>Risk Balance</t>
  </si>
  <si>
    <t>TT DD</t>
  </si>
  <si>
    <t>Today's Risk</t>
  </si>
  <si>
    <t>Risk Zone</t>
  </si>
  <si>
    <t>WINNING EDGE</t>
  </si>
  <si>
    <t>0.25% (If C &lt; $750)</t>
  </si>
  <si>
    <t>0.5% (If &gt;$750 &lt;$1000)</t>
  </si>
  <si>
    <t>1% (If C &gt;$1000)</t>
  </si>
  <si>
    <t>Simulated Loss/Profit</t>
  </si>
  <si>
    <t>2026.06.01 07:15:48</t>
  </si>
  <si>
    <t>2026.06.01 16:12:31</t>
  </si>
  <si>
    <t>2026.06.02 07:16:54</t>
  </si>
  <si>
    <t>2026.06.02 08:10:52</t>
  </si>
  <si>
    <t>2026.06.02 07:36:27</t>
  </si>
  <si>
    <t>2026.06.02 08:03:11</t>
  </si>
  <si>
    <t>2026.05.29</t>
  </si>
  <si>
    <t>2026.06.01</t>
  </si>
  <si>
    <t>2026.06.02</t>
  </si>
  <si>
    <t>2026.06.02 18:30:17</t>
  </si>
  <si>
    <t>2026.06.02 18:32:51</t>
  </si>
  <si>
    <t>2026.06.02 18:37:59</t>
  </si>
  <si>
    <t>2026.06.02 18:47:47</t>
  </si>
  <si>
    <t>2026.06.02 18:38:48</t>
  </si>
  <si>
    <t>2026.06.02 18:41:23</t>
  </si>
  <si>
    <t>2026.06.02 18:45:43</t>
  </si>
  <si>
    <t>2026.06.03 07:03:44</t>
  </si>
  <si>
    <t>2026.06.03 07:57:00</t>
  </si>
  <si>
    <t>2026.06.03 07:48:29</t>
  </si>
  <si>
    <t>2026.06.03 10:40:59</t>
  </si>
  <si>
    <t>2026.06.03 10:17:59</t>
  </si>
  <si>
    <t>2026.06.03 16:20:43</t>
  </si>
  <si>
    <t>2026.06.03 16:44:33</t>
  </si>
  <si>
    <t>2026.06.04 08:08:03</t>
  </si>
  <si>
    <t>2026.06.04 11:21:58</t>
  </si>
  <si>
    <t>2026.06.04 09:40:56</t>
  </si>
  <si>
    <t>2026.06.04 11:19:44</t>
  </si>
  <si>
    <t>2026.06.04 09:47:21</t>
  </si>
  <si>
    <t>2026.06.04 11:31:23</t>
  </si>
  <si>
    <t>2026.06.04 14:47:02</t>
  </si>
  <si>
    <t>2026.06.04 11:31:25</t>
  </si>
  <si>
    <t>2026.06.03</t>
  </si>
  <si>
    <t>2026.06.04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</si>
</sst>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[$$-409]#,##0.00_ ;[Red]\-[$$-409]#,##0.00\ "/>
    <numFmt numFmtId="165" formatCode="[$$-409]#,##0_ ;[Red]\-[$$-409]#,##0\ "/>
    <numFmt numFmtId="166" formatCode="_-[$$-540A]* #,##0.00_ ;_-[$$-540A]* \-#,##0.00\ ;_-[$$-540A]* &quot;-&quot;??_ ;_-@_ "/>
    <numFmt numFmtId="167" formatCode="[$$-409]#,##0"/>
    <numFmt numFmtId="168" formatCode="_-&quot;Ksh&quot;* #,##0_-;\-&quot;Ksh&quot;* #,##0_-;_-&quot;Ksh&quot;* &quot;-&quot;??_-;_-@_-"/>
    <numFmt numFmtId="169" formatCode="[$$-409]#,##0.00"/>
    <numFmt numFmtId="170" formatCode="[$-F800]dddd\,\ mmmm\ dd\,\ yyyy"/>
    <numFmt numFmtId="171" formatCode="#\ ##0.00;\-#\ ##0.00;0.00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rgb="FF000000"/>
      <name val="Tahoma"/>
    </font>
  </fonts>
  <fills count="2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01">
    <xf numFmtId="0" fontId="0" fillId="0" borderId="0" xfId="0"/>
    <xf numFmtId="14" fontId="0" fillId="0" borderId="0" xfId="0" applyNumberFormat="1"/>
    <xf numFmtId="0" fontId="1" fillId="2" borderId="1" xfId="2" applyBorder="1"/>
    <xf numFmtId="164" fontId="1" fillId="2" borderId="1" xfId="2" applyNumberFormat="1" applyBorder="1"/>
    <xf numFmtId="164" fontId="0" fillId="0" borderId="0" xfId="0" applyNumberFormat="1"/>
    <xf numFmtId="0" fontId="1" fillId="3" borderId="1" xfId="3" applyBorder="1"/>
    <xf numFmtId="0" fontId="0" fillId="3" borderId="1" xfId="3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0" fontId="0" fillId="4" borderId="0" xfId="0" applyFill="1" applyBorder="1"/>
    <xf numFmtId="0" fontId="0" fillId="4" borderId="0" xfId="0" applyFill="1"/>
    <xf numFmtId="0" fontId="0" fillId="4" borderId="0" xfId="0" applyFill="1" applyAlignment="1"/>
    <xf numFmtId="0" fontId="0" fillId="4" borderId="0" xfId="0" applyFill="1" applyAlignment="1">
      <alignment horizontal="left"/>
    </xf>
    <xf numFmtId="164" fontId="0" fillId="4" borderId="0" xfId="0" applyNumberFormat="1" applyFill="1"/>
    <xf numFmtId="0" fontId="0" fillId="2" borderId="1" xfId="2" applyFont="1" applyBorder="1"/>
    <xf numFmtId="164" fontId="0" fillId="2" borderId="1" xfId="2" applyNumberFormat="1" applyFont="1" applyBorder="1"/>
    <xf numFmtId="0" fontId="0" fillId="4" borderId="0" xfId="0" applyNumberFormat="1" applyFill="1"/>
    <xf numFmtId="166" fontId="0" fillId="0" borderId="0" xfId="0" applyNumberFormat="1"/>
    <xf numFmtId="166" fontId="0" fillId="5" borderId="0" xfId="0" applyNumberFormat="1" applyFill="1"/>
    <xf numFmtId="0" fontId="0" fillId="6" borderId="0" xfId="0" applyFill="1"/>
    <xf numFmtId="166" fontId="0" fillId="6" borderId="0" xfId="0" applyNumberFormat="1" applyFill="1"/>
    <xf numFmtId="14" fontId="0" fillId="4" borderId="0" xfId="0" applyNumberFormat="1" applyFill="1"/>
    <xf numFmtId="166" fontId="0" fillId="4" borderId="0" xfId="0" applyNumberFormat="1" applyFill="1"/>
    <xf numFmtId="14" fontId="0" fillId="7" borderId="0" xfId="0" applyNumberFormat="1" applyFill="1"/>
    <xf numFmtId="166" fontId="0" fillId="7" borderId="0" xfId="0" applyNumberFormat="1" applyFill="1"/>
    <xf numFmtId="14" fontId="0" fillId="8" borderId="0" xfId="0" applyNumberFormat="1" applyFill="1"/>
    <xf numFmtId="166" fontId="0" fillId="8" borderId="0" xfId="0" applyNumberFormat="1" applyFill="1"/>
    <xf numFmtId="0" fontId="0" fillId="9" borderId="0" xfId="0" applyFill="1"/>
    <xf numFmtId="166" fontId="0" fillId="9" borderId="0" xfId="0" applyNumberFormat="1" applyFill="1"/>
    <xf numFmtId="14" fontId="0" fillId="10" borderId="0" xfId="0" applyNumberFormat="1" applyFill="1"/>
    <xf numFmtId="166" fontId="0" fillId="10" borderId="0" xfId="0" applyNumberFormat="1" applyFill="1"/>
    <xf numFmtId="0" fontId="0" fillId="11" borderId="0" xfId="0" applyFill="1"/>
    <xf numFmtId="14" fontId="0" fillId="11" borderId="0" xfId="0" applyNumberFormat="1" applyFill="1"/>
    <xf numFmtId="166" fontId="0" fillId="11" borderId="0" xfId="0" applyNumberFormat="1" applyFill="1"/>
    <xf numFmtId="0" fontId="0" fillId="0" borderId="0" xfId="0" applyAlignment="1">
      <alignment wrapText="1"/>
    </xf>
    <xf numFmtId="0" fontId="0" fillId="12" borderId="0" xfId="0" applyFill="1"/>
    <xf numFmtId="14" fontId="0" fillId="12" borderId="0" xfId="0" applyNumberFormat="1" applyFill="1"/>
    <xf numFmtId="166" fontId="0" fillId="12" borderId="0" xfId="0" applyNumberFormat="1" applyFill="1"/>
    <xf numFmtId="0" fontId="4" fillId="13" borderId="0" xfId="0" applyFont="1" applyFill="1"/>
    <xf numFmtId="14" fontId="4" fillId="13" borderId="0" xfId="0" applyNumberFormat="1" applyFont="1" applyFill="1"/>
    <xf numFmtId="0" fontId="0" fillId="14" borderId="0" xfId="0" applyFill="1"/>
    <xf numFmtId="14" fontId="0" fillId="14" borderId="0" xfId="0" applyNumberFormat="1" applyFill="1"/>
    <xf numFmtId="166" fontId="0" fillId="14" borderId="0" xfId="0" applyNumberFormat="1" applyFill="1"/>
    <xf numFmtId="0" fontId="0" fillId="7" borderId="0" xfId="0" applyFill="1"/>
    <xf numFmtId="166" fontId="0" fillId="15" borderId="0" xfId="0" applyNumberFormat="1" applyFill="1"/>
    <xf numFmtId="0" fontId="0" fillId="8" borderId="0" xfId="0" applyFill="1"/>
    <xf numFmtId="0" fontId="0" fillId="10" borderId="0" xfId="0" applyFill="1"/>
    <xf numFmtId="9" fontId="0" fillId="0" borderId="0" xfId="1" applyFont="1"/>
    <xf numFmtId="21" fontId="0" fillId="0" borderId="0" xfId="0" applyNumberFormat="1"/>
    <xf numFmtId="14" fontId="1" fillId="2" borderId="1" xfId="2" applyNumberFormat="1" applyBorder="1"/>
    <xf numFmtId="0" fontId="0" fillId="5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7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5" fillId="0" borderId="0" xfId="0" applyFont="1"/>
    <xf numFmtId="168" fontId="5" fillId="0" borderId="0" xfId="0" applyNumberFormat="1" applyFont="1"/>
    <xf numFmtId="169" fontId="5" fillId="0" borderId="0" xfId="0" applyNumberFormat="1" applyFont="1"/>
    <xf numFmtId="167" fontId="5" fillId="0" borderId="0" xfId="0" applyNumberFormat="1" applyFont="1"/>
    <xf numFmtId="10" fontId="0" fillId="0" borderId="0" xfId="1" applyNumberFormat="1" applyFont="1"/>
    <xf numFmtId="2" fontId="0" fillId="0" borderId="0" xfId="1" applyNumberFormat="1" applyFont="1"/>
    <xf numFmtId="0" fontId="6" fillId="0" borderId="0" xfId="0" applyFont="1"/>
    <xf numFmtId="0" fontId="0" fillId="0" borderId="0" xfId="0"/>
    <xf numFmtId="0" fontId="0" fillId="4" borderId="0" xfId="0" applyFill="1"/>
    <xf numFmtId="1" fontId="0" fillId="0" borderId="0" xfId="0" applyNumberFormat="1"/>
    <xf numFmtId="0" fontId="5" fillId="5" borderId="0" xfId="0" applyFont="1" applyFill="1"/>
    <xf numFmtId="14" fontId="5" fillId="5" borderId="0" xfId="0" applyNumberFormat="1" applyFont="1" applyFill="1"/>
    <xf numFmtId="1" fontId="5" fillId="5" borderId="0" xfId="0" applyNumberFormat="1" applyFont="1" applyFill="1"/>
    <xf numFmtId="0" fontId="0" fillId="0" borderId="0" xfId="0" applyAlignment="1">
      <alignment wrapText="1"/>
    </xf>
    <xf numFmtId="0" fontId="0" fillId="0" borderId="0" xfId="0"/>
    <xf numFmtId="0" fontId="0" fillId="0" borderId="0" xfId="0" applyFill="1" applyBorder="1" applyAlignment="1">
      <alignment wrapText="1"/>
    </xf>
    <xf numFmtId="0" fontId="0" fillId="0" borderId="0" xfId="0" applyAlignment="1"/>
    <xf numFmtId="0" fontId="0" fillId="0" borderId="0" xfId="0" applyFill="1" applyBorder="1" applyAlignment="1"/>
    <xf numFmtId="0" fontId="0" fillId="5" borderId="0" xfId="0" applyFill="1" applyAlignment="1"/>
    <xf numFmtId="9" fontId="0" fillId="8" borderId="0" xfId="0" applyNumberFormat="1" applyFill="1" applyAlignment="1">
      <alignment wrapText="1"/>
    </xf>
    <xf numFmtId="10" fontId="0" fillId="5" borderId="0" xfId="0" applyNumberFormat="1" applyFill="1" applyAlignment="1">
      <alignment wrapText="1"/>
    </xf>
    <xf numFmtId="10" fontId="0" fillId="16" borderId="0" xfId="0" applyNumberFormat="1" applyFill="1" applyAlignment="1">
      <alignment wrapText="1"/>
    </xf>
    <xf numFmtId="10" fontId="0" fillId="0" borderId="0" xfId="1" applyNumberFormat="1" applyFont="1" applyAlignment="1"/>
    <xf numFmtId="170" fontId="0" fillId="0" borderId="0" xfId="0" applyNumberFormat="1" applyAlignment="1">
      <alignment horizontal="left" vertical="top"/>
    </xf>
    <xf numFmtId="171" fontId="7" fillId="17" borderId="0" xfId="0" applyNumberFormat="1" applyFont="1" applyFill="1" applyBorder="1" applyAlignment="1" applyProtection="1">
      <alignment vertical="center"/>
    </xf>
    <xf numFmtId="171" fontId="7" fillId="18" borderId="0" xfId="0" applyNumberFormat="1" applyFont="1" applyFill="1" applyBorder="1" applyAlignment="1" applyProtection="1">
      <alignment vertical="center"/>
    </xf>
    <xf numFmtId="170" fontId="0" fillId="6" borderId="0" xfId="0" applyNumberFormat="1" applyFill="1" applyAlignment="1">
      <alignment horizontal="left" vertical="top"/>
    </xf>
    <xf numFmtId="10" fontId="0" fillId="6" borderId="0" xfId="1" applyNumberFormat="1" applyFont="1" applyFill="1"/>
    <xf numFmtId="10" fontId="0" fillId="6" borderId="0" xfId="1" applyNumberFormat="1" applyFont="1" applyFill="1" applyAlignment="1"/>
    <xf numFmtId="0" fontId="0" fillId="4" borderId="1" xfId="0" applyFill="1" applyBorder="1" applyAlignment="1">
      <alignment horizontal="center"/>
    </xf>
    <xf numFmtId="10" fontId="3" fillId="4" borderId="0" xfId="1" applyNumberFormat="1" applyFont="1" applyFill="1" applyAlignment="1">
      <alignment horizontal="center"/>
    </xf>
    <xf numFmtId="2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  <xf numFmtId="2" fontId="3" fillId="4" borderId="0" xfId="1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70" fontId="0" fillId="19" borderId="0" xfId="0" applyNumberFormat="1" applyFill="1" applyAlignment="1">
      <alignment horizontal="left" vertical="top"/>
    </xf>
    <xf numFmtId="170" fontId="0" fillId="20" borderId="0" xfId="0" applyNumberFormat="1" applyFill="1" applyAlignment="1">
      <alignment horizontal="left" vertical="top"/>
    </xf>
  </cellXfs>
  <cellStyles count="4">
    <cellStyle name="60% - Accent1" xfId="2" builtinId="32"/>
    <cellStyle name="60% - Accent2" xfId="3" builtinId="36"/>
    <cellStyle name="Normal" xfId="0" builtinId="0"/>
    <cellStyle name="Percent" xfId="1" builtinId="5"/>
  </cellStyles>
  <dxfs count="5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/>
        </patternFill>
      </fill>
    </dxf>
    <dxf>
      <fill>
        <patternFill>
          <bgColor rgb="FFFFFF00"/>
        </patternFill>
      </fill>
    </dxf>
    <dxf>
      <numFmt numFmtId="26" formatCode="hh:mm:ss"/>
    </dxf>
    <dxf>
      <numFmt numFmtId="26" formatCode="hh:mm:ss"/>
    </dxf>
    <dxf>
      <numFmt numFmtId="26" formatCode="hh:mm:ss"/>
    </dxf>
    <dxf>
      <numFmt numFmtId="26" formatCode="hh:mm:ss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Eval1.xlsx]Pivots!PivotTable1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/>
              <a:t>Daily PnL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Pivots!$A$3:$A$8</c:f>
              <c:strCache>
                <c:ptCount val="6"/>
                <c:pt idx="0">
                  <c:v>(blank)</c:v>
                </c:pt>
                <c:pt idx="1">
                  <c:v>2026.05.29</c:v>
                </c:pt>
                <c:pt idx="2">
                  <c:v>2026.06.01</c:v>
                </c:pt>
                <c:pt idx="3">
                  <c:v>2026.06.02</c:v>
                </c:pt>
                <c:pt idx="4">
                  <c:v>2026.06.03</c:v>
                </c:pt>
                <c:pt idx="5">
                  <c:v>2026.06.04</c:v>
                </c:pt>
              </c:strCache>
            </c:strRef>
          </c:cat>
          <c:val>
            <c:numRef>
              <c:f>Pivots!$B$3:$B$8</c:f>
              <c:numCache>
                <c:formatCode>General</c:formatCode>
                <c:ptCount val="6"/>
                <c:pt idx="1">
                  <c:v>-482.46000000000009</c:v>
                </c:pt>
                <c:pt idx="2">
                  <c:v>113.05000000000001</c:v>
                </c:pt>
                <c:pt idx="3">
                  <c:v>369.4</c:v>
                </c:pt>
                <c:pt idx="4">
                  <c:v>-7.4999999999999858</c:v>
                </c:pt>
                <c:pt idx="5">
                  <c:v>232.45999999999995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3826768"/>
        <c:axId val="123830296"/>
      </c:barChart>
      <c:catAx>
        <c:axId val="12382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30296"/>
        <c:crosses val="autoZero"/>
        <c:auto val="1"/>
        <c:lblAlgn val="ctr"/>
        <c:lblOffset val="100"/>
        <c:noMultiLvlLbl val="0"/>
      </c:catAx>
      <c:valAx>
        <c:axId val="1238302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382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[2026 Eval1.xlsx]Pivots!PivotTable3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/>
              <a:t>Accumulated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058430196225472E-2"/>
          <c:y val="0.1740956183392193"/>
          <c:w val="0.94406855393075861"/>
          <c:h val="0.76140614745132351"/>
        </c:manualLayout>
      </c:layout>
      <c:lineChart>
        <c:grouping val="standard"/>
        <c:varyColors val="0"/>
        <c:ser>
          <c:idx val="0"/>
          <c:order val="0"/>
          <c:tx>
            <c:strRef>
              <c:f>Pivots!$E$2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Pivots!$D$3:$D$9</c:f>
              <c:strCache>
                <c:ptCount val="6"/>
                <c:pt idx="0">
                  <c:v>(blank)</c:v>
                </c:pt>
                <c:pt idx="1">
                  <c:v>2026.05.29</c:v>
                </c:pt>
                <c:pt idx="2">
                  <c:v>2026.06.01</c:v>
                </c:pt>
                <c:pt idx="3">
                  <c:v>2026.06.02</c:v>
                </c:pt>
                <c:pt idx="4">
                  <c:v>2026.06.03</c:v>
                </c:pt>
                <c:pt idx="5">
                  <c:v>2026.06.04</c:v>
                </c:pt>
              </c:strCache>
            </c:strRef>
          </c:cat>
          <c:val>
            <c:numRef>
              <c:f>Pivots!$E$3:$E$9</c:f>
              <c:numCache>
                <c:formatCode>General</c:formatCode>
                <c:ptCount val="6"/>
                <c:pt idx="1">
                  <c:v>-482.46000000000009</c:v>
                </c:pt>
                <c:pt idx="2">
                  <c:v>113.05000000000001</c:v>
                </c:pt>
                <c:pt idx="3">
                  <c:v>369.4</c:v>
                </c:pt>
                <c:pt idx="4">
                  <c:v>-7.4999999999999858</c:v>
                </c:pt>
                <c:pt idx="5">
                  <c:v>232.45999999999995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827552"/>
        <c:axId val="123835000"/>
      </c:lineChart>
      <c:catAx>
        <c:axId val="12382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35000"/>
        <c:crosses val="autoZero"/>
        <c:auto val="1"/>
        <c:lblAlgn val="ctr"/>
        <c:lblOffset val="100"/>
        <c:noMultiLvlLbl val="0"/>
      </c:catAx>
      <c:valAx>
        <c:axId val="123835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2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Eval1.xlsx]Pivots!PivotTable10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Buy/Sell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Pivots!$S$2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9A2-4738-8811-4D641A872F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9A2-4738-8811-4D641A872FB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Pivots!$R$3:$R$5</c:f>
              <c:strCache>
                <c:ptCount val="2"/>
                <c:pt idx="0">
                  <c:v>buy</c:v>
                </c:pt>
                <c:pt idx="1">
                  <c:v>sell</c:v>
                </c:pt>
              </c:strCache>
            </c:strRef>
          </c:cat>
          <c:val>
            <c:numRef>
              <c:f>Pivots!$S$3:$S$5</c:f>
              <c:numCache>
                <c:formatCode>0%</c:formatCode>
                <c:ptCount val="2"/>
                <c:pt idx="0">
                  <c:v>0.71875</c:v>
                </c:pt>
                <c:pt idx="1">
                  <c:v>0.28125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E9A2-4738-8811-4D641A872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1653</xdr:rowOff>
    </xdr:from>
    <xdr:to>
      <xdr:col>18</xdr:col>
      <xdr:colOff>0</xdr:colOff>
      <xdr:row>35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C49C99E8-1092-4429-B77C-7F6A9A5B7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0</xdr:rowOff>
    </xdr:from>
    <xdr:to>
      <xdr:col>14</xdr:col>
      <xdr:colOff>600075</xdr:colOff>
      <xdr:row>21</xdr:row>
      <xdr:rowOff>186447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D20D6A9F-A95A-4E3B-8255-BE3EB463E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600077</xdr:colOff>
      <xdr:row>8</xdr:row>
      <xdr:rowOff>0</xdr:rowOff>
    </xdr:from>
    <xdr:to>
      <xdr:col>18</xdr:col>
      <xdr:colOff>1</xdr:colOff>
      <xdr:row>22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03EC6505-9673-4BE9-8DA2-98F04AC9D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77.828099305552" createdVersion="6" refreshedVersion="5" minRefreshableVersion="3" recordCount="146">
  <cacheSource type="worksheet">
    <worksheetSource name="trades"/>
  </cacheSource>
  <cacheFields count="34">
    <cacheField name="id" numFmtId="0">
      <sharedItems containsString="0" containsBlank="1" containsNumber="1" containsInteger="1" minValue="94394852" maxValue="95287843"/>
    </cacheField>
    <cacheField name="entryDate" numFmtId="14">
      <sharedItems containsBlank="1"/>
    </cacheField>
    <cacheField name="exitDate" numFmtId="14">
      <sharedItems containsBlank="1"/>
    </cacheField>
    <cacheField name="type" numFmtId="0">
      <sharedItems containsBlank="1" containsMixedTypes="1" containsNumber="1" containsInteger="1" minValue="0" maxValue="0" count="4">
        <s v="buy"/>
        <s v="sell"/>
        <m/>
        <n v="0" u="1"/>
      </sharedItems>
    </cacheField>
    <cacheField name="symbol" numFmtId="0">
      <sharedItems containsBlank="1" containsMixedTypes="1" containsNumber="1" containsInteger="1" minValue="0" maxValue="0" count="4">
        <s v="NAS100.raw"/>
        <s v="XAUUSD.raw"/>
        <m/>
        <n v="0" u="1"/>
      </sharedItems>
    </cacheField>
    <cacheField name="entryPrice" numFmtId="164">
      <sharedItems containsBlank="1" containsMixedTypes="1" containsNumber="1" minValue="4454.46" maxValue="30720.738000000001"/>
    </cacheField>
    <cacheField name="exitPrice" numFmtId="164">
      <sharedItems containsNonDate="0" containsString="0" containsBlank="1"/>
    </cacheField>
    <cacheField name="gainAmount" numFmtId="164">
      <sharedItems containsString="0" containsBlank="1" containsNumber="1" minValue="-96.96" maxValue="199.61999999999998"/>
    </cacheField>
    <cacheField name="quantity" numFmtId="0">
      <sharedItems containsString="0" containsBlank="1" containsNumber="1" minValue="0.03" maxValue="2"/>
    </cacheField>
    <cacheField name="fees" numFmtId="164">
      <sharedItems containsString="0" containsBlank="1" containsNumber="1" minValue="-0.5" maxValue="0"/>
    </cacheField>
    <cacheField name="gainPercent" numFmtId="0">
      <sharedItems containsString="0" containsBlank="1" containsNumber="1" minValue="-9.6959999999999998E-3" maxValue="1.9961999999999997E-2"/>
    </cacheField>
    <cacheField name="Win" numFmtId="0">
      <sharedItems containsBlank="1" containsMixedTypes="1" containsNumber="1" containsInteger="1" minValue="0" maxValue="1" count="5">
        <s v="1"/>
        <s v="0"/>
        <m/>
        <n v="0" u="1"/>
        <n v="1" u="1"/>
      </sharedItems>
    </cacheField>
    <cacheField name="tradeCount" numFmtId="0">
      <sharedItems containsString="0" containsBlank="1" containsNumber="1" containsInteger="1" minValue="1" maxValue="1"/>
    </cacheField>
    <cacheField name="entryDateTime" numFmtId="0">
      <sharedItems containsBlank="1"/>
    </cacheField>
    <cacheField name="accProfit" numFmtId="0">
      <sharedItems containsString="0" containsBlank="1" containsNumber="1" minValue="-96.66" maxValue="199.92"/>
    </cacheField>
    <cacheField name="Extra2" numFmtId="0">
      <sharedItems containsBlank="1" count="6">
        <s v="2026.05.29"/>
        <s v="2026.06.01"/>
        <s v="2026.06.02"/>
        <s v="2026.06.03"/>
        <s v="2026.06.04"/>
        <m/>
      </sharedItems>
    </cacheField>
    <cacheField name="Extra3" numFmtId="0">
      <sharedItems containsNonDate="0" containsString="0" containsBlank="1"/>
    </cacheField>
    <cacheField name="Extra4" numFmtId="0">
      <sharedItems containsNonDate="0" containsString="0" containsBlank="1"/>
    </cacheField>
    <cacheField name="Extra5" numFmtId="0">
      <sharedItems containsNonDate="0" containsString="0" containsBlank="1"/>
    </cacheField>
    <cacheField name="Extra6" numFmtId="0">
      <sharedItems containsNonDate="0" containsString="0" containsBlank="1"/>
    </cacheField>
    <cacheField name="Extra7" numFmtId="0">
      <sharedItems containsNonDate="0" containsString="0" containsBlank="1"/>
    </cacheField>
    <cacheField name="Extra8" numFmtId="0">
      <sharedItems containsNonDate="0" containsString="0" containsBlank="1"/>
    </cacheField>
    <cacheField name="Extra9" numFmtId="0">
      <sharedItems containsNonDate="0" containsString="0" containsBlank="1"/>
    </cacheField>
    <cacheField name="Extra10" numFmtId="0">
      <sharedItems containsNonDate="0" containsString="0" containsBlank="1"/>
    </cacheField>
    <cacheField name="Extra11" numFmtId="0">
      <sharedItems containsNonDate="0" containsString="0" containsBlank="1"/>
    </cacheField>
    <cacheField name="Extra12" numFmtId="0">
      <sharedItems containsNonDate="0" containsString="0" containsBlank="1"/>
    </cacheField>
    <cacheField name="Extra13" numFmtId="0">
      <sharedItems containsNonDate="0" containsString="0" containsBlank="1"/>
    </cacheField>
    <cacheField name="Extra14" numFmtId="0">
      <sharedItems containsNonDate="0" containsString="0" containsBlank="1"/>
    </cacheField>
    <cacheField name="Extra15" numFmtId="0">
      <sharedItems containsNonDate="0" containsString="0" containsBlank="1"/>
    </cacheField>
    <cacheField name="Extra16" numFmtId="0">
      <sharedItems containsNonDate="0" containsString="0" containsBlank="1"/>
    </cacheField>
    <cacheField name="Extra17" numFmtId="0">
      <sharedItems containsNonDate="0" containsString="0" containsBlank="1"/>
    </cacheField>
    <cacheField name="Extra18" numFmtId="0">
      <sharedItems containsNonDate="0" containsString="0" containsBlank="1"/>
    </cacheField>
    <cacheField name="Extra19" numFmtId="0">
      <sharedItems containsNonDate="0" containsString="0" containsBlank="1"/>
    </cacheField>
    <cacheField name="Extra2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6551222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6">
  <r>
    <n v="94394852"/>
    <s v="2026.05.29 15:12:07"/>
    <s v="2026.05.29 15:57:04"/>
    <x v="0"/>
    <x v="0"/>
    <s v="30 294.15"/>
    <m/>
    <n v="8.99"/>
    <n v="0.5"/>
    <n v="0"/>
    <n v="8.9900000000000006E-4"/>
    <x v="0"/>
    <n v="1"/>
    <s v="2026.05.29 15:12:07"/>
    <n v="8.99"/>
    <x v="0"/>
    <m/>
    <m/>
    <m/>
    <m/>
    <m/>
    <m/>
    <m/>
    <m/>
    <m/>
    <m/>
    <m/>
    <m/>
    <m/>
    <m/>
    <m/>
    <m/>
    <m/>
    <m/>
  </r>
  <r>
    <n v="94395618"/>
    <s v="2026.05.29 15:17:36"/>
    <s v="2026.05.29 15:57:04"/>
    <x v="0"/>
    <x v="0"/>
    <s v="30 289.34"/>
    <m/>
    <n v="22.8"/>
    <n v="1"/>
    <n v="0"/>
    <n v="2.2799999999999999E-3"/>
    <x v="0"/>
    <n v="1"/>
    <s v="2026.05.29 15:17:36"/>
    <n v="22.8"/>
    <x v="0"/>
    <m/>
    <m/>
    <m/>
    <m/>
    <m/>
    <m/>
    <m/>
    <m/>
    <m/>
    <m/>
    <m/>
    <m/>
    <m/>
    <m/>
    <m/>
    <m/>
    <m/>
    <m/>
  </r>
  <r>
    <n v="94395131"/>
    <s v="2026.05.29 15:33:34"/>
    <s v="2026.05.29 15:57:04"/>
    <x v="0"/>
    <x v="0"/>
    <s v="30 265.55"/>
    <m/>
    <n v="23.29"/>
    <n v="0.5"/>
    <n v="0"/>
    <n v="2.3289999999999999E-3"/>
    <x v="0"/>
    <n v="1"/>
    <s v="2026.05.29 15:33:34"/>
    <n v="23.29"/>
    <x v="0"/>
    <m/>
    <m/>
    <m/>
    <m/>
    <m/>
    <m/>
    <m/>
    <m/>
    <m/>
    <m/>
    <m/>
    <m/>
    <m/>
    <m/>
    <m/>
    <m/>
    <m/>
    <m/>
  </r>
  <r>
    <n v="94398668"/>
    <s v="2026.05.29 15:33:34"/>
    <s v="2026.05.29 15:57:04"/>
    <x v="0"/>
    <x v="0"/>
    <s v="30 265.55"/>
    <m/>
    <n v="46.58"/>
    <n v="1"/>
    <n v="0"/>
    <n v="4.6579999999999998E-3"/>
    <x v="0"/>
    <n v="1"/>
    <s v="2026.05.29 15:33:34"/>
    <n v="46.58"/>
    <x v="0"/>
    <m/>
    <m/>
    <m/>
    <m/>
    <m/>
    <m/>
    <m/>
    <m/>
    <m/>
    <m/>
    <m/>
    <m/>
    <m/>
    <m/>
    <m/>
    <m/>
    <m/>
    <m/>
  </r>
  <r>
    <n v="94414127"/>
    <s v="2026.05.29 16:35:51"/>
    <s v="2026.05.29 17:01:59"/>
    <x v="1"/>
    <x v="1"/>
    <s v="4 522.82"/>
    <m/>
    <n v="-92.68"/>
    <n v="0.04"/>
    <n v="-0.2"/>
    <n v="-9.2680000000000002E-3"/>
    <x v="1"/>
    <n v="1"/>
    <s v="2026.05.29 16:35:51"/>
    <n v="-92.48"/>
    <x v="0"/>
    <m/>
    <m/>
    <m/>
    <m/>
    <m/>
    <m/>
    <m/>
    <m/>
    <m/>
    <m/>
    <m/>
    <m/>
    <m/>
    <m/>
    <m/>
    <m/>
    <m/>
    <m/>
  </r>
  <r>
    <n v="94414305"/>
    <s v="2026.05.29 16:37:48"/>
    <s v="2026.05.29 17:01:59"/>
    <x v="1"/>
    <x v="1"/>
    <s v="4 526.91"/>
    <m/>
    <n v="-75.84"/>
    <n v="0.04"/>
    <n v="-0.2"/>
    <n v="-7.5840000000000005E-3"/>
    <x v="1"/>
    <n v="1"/>
    <s v="2026.05.29 16:37:48"/>
    <n v="-75.64"/>
    <x v="0"/>
    <m/>
    <m/>
    <m/>
    <m/>
    <m/>
    <m/>
    <m/>
    <m/>
    <m/>
    <m/>
    <m/>
    <m/>
    <m/>
    <m/>
    <m/>
    <m/>
    <m/>
    <m/>
  </r>
  <r>
    <n v="94415166"/>
    <s v="2026.05.29 16:38:59"/>
    <s v="2026.05.29 17:01:59"/>
    <x v="1"/>
    <x v="1"/>
    <s v="4 533.02"/>
    <m/>
    <n v="-51.920000000000009"/>
    <n v="0.04"/>
    <n v="-0.2"/>
    <n v="-5.1920000000000013E-3"/>
    <x v="1"/>
    <n v="1"/>
    <s v="2026.05.29 16:38:59"/>
    <n v="-51.720000000000006"/>
    <x v="0"/>
    <m/>
    <m/>
    <m/>
    <m/>
    <m/>
    <m/>
    <m/>
    <m/>
    <m/>
    <m/>
    <m/>
    <m/>
    <m/>
    <m/>
    <m/>
    <m/>
    <m/>
    <m/>
  </r>
  <r>
    <n v="94416348"/>
    <s v="2026.05.29 16:53:50"/>
    <s v="2026.05.29 17:01:59"/>
    <x v="1"/>
    <x v="1"/>
    <s v="4 537.84"/>
    <m/>
    <n v="-32.600000000000009"/>
    <n v="0.04"/>
    <n v="-0.2"/>
    <n v="-3.2600000000000007E-3"/>
    <x v="1"/>
    <n v="1"/>
    <s v="2026.05.29 16:53:50"/>
    <n v="-32.400000000000006"/>
    <x v="0"/>
    <m/>
    <m/>
    <m/>
    <m/>
    <m/>
    <m/>
    <m/>
    <m/>
    <m/>
    <m/>
    <m/>
    <m/>
    <m/>
    <m/>
    <m/>
    <m/>
    <m/>
    <m/>
  </r>
  <r>
    <n v="94422856"/>
    <s v="2026.05.29 17:00:36"/>
    <s v="2026.05.29 17:02:01"/>
    <x v="1"/>
    <x v="1"/>
    <s v="4 537.54"/>
    <m/>
    <n v="-89.8"/>
    <n v="0.1"/>
    <n v="-0.5"/>
    <n v="-8.9800000000000001E-3"/>
    <x v="1"/>
    <n v="1"/>
    <s v="2026.05.29 17:00:36"/>
    <n v="-89.3"/>
    <x v="0"/>
    <m/>
    <m/>
    <m/>
    <m/>
    <m/>
    <m/>
    <m/>
    <m/>
    <m/>
    <m/>
    <m/>
    <m/>
    <m/>
    <m/>
    <m/>
    <m/>
    <m/>
    <m/>
  </r>
  <r>
    <n v="94429022"/>
    <s v="2026.05.29 17:13:37"/>
    <s v="2026.05.29 17:20:57"/>
    <x v="0"/>
    <x v="1"/>
    <s v="4 547.02"/>
    <m/>
    <n v="-83.5"/>
    <n v="0.1"/>
    <n v="-0.5"/>
    <n v="-8.3499999999999998E-3"/>
    <x v="1"/>
    <n v="1"/>
    <s v="2026.05.29 17:13:37"/>
    <n v="-83"/>
    <x v="0"/>
    <m/>
    <m/>
    <m/>
    <m/>
    <m/>
    <m/>
    <m/>
    <m/>
    <m/>
    <m/>
    <m/>
    <m/>
    <m/>
    <m/>
    <m/>
    <m/>
    <m/>
    <m/>
  </r>
  <r>
    <n v="94430627"/>
    <s v="2026.05.29 17:17:56"/>
    <s v="2026.05.29 17:21:48"/>
    <x v="0"/>
    <x v="1"/>
    <s v="4 542.91"/>
    <m/>
    <n v="-50.6"/>
    <n v="0.1"/>
    <n v="-0.5"/>
    <n v="-5.0600000000000003E-3"/>
    <x v="1"/>
    <n v="1"/>
    <s v="2026.05.29 17:17:56"/>
    <n v="-50.1"/>
    <x v="0"/>
    <m/>
    <m/>
    <m/>
    <m/>
    <m/>
    <m/>
    <m/>
    <m/>
    <m/>
    <m/>
    <m/>
    <m/>
    <m/>
    <m/>
    <m/>
    <m/>
    <m/>
    <m/>
  </r>
  <r>
    <n v="94429362"/>
    <s v="2026.05.29 17:19:06"/>
    <s v="2026.05.29 17:22:09"/>
    <x v="0"/>
    <x v="1"/>
    <s v="4 540.06"/>
    <m/>
    <n v="-32.799999999999997"/>
    <n v="0.1"/>
    <n v="-0.5"/>
    <n v="-3.2799999999999999E-3"/>
    <x v="1"/>
    <n v="1"/>
    <s v="2026.05.29 17:19:06"/>
    <n v="-32.299999999999997"/>
    <x v="0"/>
    <m/>
    <m/>
    <m/>
    <m/>
    <m/>
    <m/>
    <m/>
    <m/>
    <m/>
    <m/>
    <m/>
    <m/>
    <m/>
    <m/>
    <m/>
    <m/>
    <m/>
    <m/>
  </r>
  <r>
    <n v="94440750"/>
    <s v="2026.05.29 17:45:01"/>
    <s v="2026.05.29 17:52:07"/>
    <x v="1"/>
    <x v="1"/>
    <s v="4 540.08"/>
    <m/>
    <n v="-45.62"/>
    <n v="0.05"/>
    <n v="-0.26"/>
    <n v="-4.5620000000000001E-3"/>
    <x v="1"/>
    <n v="1"/>
    <s v="2026.05.29 17:45:01"/>
    <n v="-45.36"/>
    <x v="0"/>
    <m/>
    <m/>
    <m/>
    <m/>
    <m/>
    <m/>
    <m/>
    <m/>
    <m/>
    <m/>
    <m/>
    <m/>
    <m/>
    <m/>
    <m/>
    <m/>
    <m/>
    <m/>
  </r>
  <r>
    <n v="94440970"/>
    <s v="2026.05.29 17:45:39"/>
    <s v="2026.05.29 17:52:07"/>
    <x v="1"/>
    <x v="1"/>
    <s v="4 539.62"/>
    <m/>
    <n v="-28.76"/>
    <n v="0.03"/>
    <n v="-0.16"/>
    <n v="-2.8760000000000001E-3"/>
    <x v="1"/>
    <n v="1"/>
    <s v="2026.05.29 17:45:39"/>
    <n v="-28.6"/>
    <x v="0"/>
    <m/>
    <m/>
    <m/>
    <m/>
    <m/>
    <m/>
    <m/>
    <m/>
    <m/>
    <m/>
    <m/>
    <m/>
    <m/>
    <m/>
    <m/>
    <m/>
    <m/>
    <m/>
  </r>
  <r>
    <n v="94520601"/>
    <s v="2026.06.01 07:15:48"/>
    <s v="2026.06.01 16:12:31"/>
    <x v="1"/>
    <x v="1"/>
    <n v="4516.04"/>
    <m/>
    <n v="113.05000000000001"/>
    <n v="0.03"/>
    <n v="-0.16"/>
    <n v="1.1305000000000001E-2"/>
    <x v="0"/>
    <n v="1"/>
    <s v="2026.06.01 07:15:48"/>
    <n v="113.21000000000001"/>
    <x v="1"/>
    <m/>
    <m/>
    <m/>
    <m/>
    <m/>
    <m/>
    <m/>
    <m/>
    <m/>
    <m/>
    <m/>
    <m/>
    <m/>
    <m/>
    <m/>
    <m/>
    <m/>
    <m/>
  </r>
  <r>
    <n v="94767432"/>
    <s v="2026.06.02 07:16:54"/>
    <s v="2026.06.02 08:10:52"/>
    <x v="0"/>
    <x v="0"/>
    <n v="30367.006000000001"/>
    <m/>
    <n v="148.04"/>
    <n v="2"/>
    <n v="0"/>
    <n v="1.4803999999999999E-2"/>
    <x v="0"/>
    <n v="1"/>
    <s v="2026.06.02 07:16:54"/>
    <n v="148.04"/>
    <x v="2"/>
    <m/>
    <m/>
    <m/>
    <m/>
    <m/>
    <m/>
    <m/>
    <m/>
    <m/>
    <m/>
    <m/>
    <m/>
    <m/>
    <m/>
    <m/>
    <m/>
    <m/>
    <m/>
  </r>
  <r>
    <n v="94769850"/>
    <s v="2026.06.02 07:36:27"/>
    <s v="2026.06.02 08:10:52"/>
    <x v="0"/>
    <x v="0"/>
    <n v="30383.999"/>
    <m/>
    <n v="114.05"/>
    <n v="2"/>
    <n v="0"/>
    <n v="1.1405E-2"/>
    <x v="0"/>
    <n v="1"/>
    <s v="2026.06.02 07:36:27"/>
    <n v="114.05"/>
    <x v="2"/>
    <m/>
    <m/>
    <m/>
    <m/>
    <m/>
    <m/>
    <m/>
    <m/>
    <m/>
    <m/>
    <m/>
    <m/>
    <m/>
    <m/>
    <m/>
    <m/>
    <m/>
    <m/>
  </r>
  <r>
    <n v="94775406"/>
    <s v="2026.06.02 08:03:11"/>
    <s v="2026.06.02 08:10:52"/>
    <x v="0"/>
    <x v="0"/>
    <n v="30423.93"/>
    <m/>
    <n v="34.19"/>
    <n v="2"/>
    <n v="0"/>
    <n v="3.4189999999999997E-3"/>
    <x v="0"/>
    <n v="1"/>
    <s v="2026.06.02 08:03:11"/>
    <n v="34.19"/>
    <x v="2"/>
    <m/>
    <m/>
    <m/>
    <m/>
    <m/>
    <m/>
    <m/>
    <m/>
    <m/>
    <m/>
    <m/>
    <m/>
    <m/>
    <m/>
    <m/>
    <m/>
    <m/>
    <m/>
  </r>
  <r>
    <n v="94932059"/>
    <s v="2026.06.02 18:30:17"/>
    <s v="2026.06.02 18:32:51"/>
    <x v="0"/>
    <x v="1"/>
    <n v="4504"/>
    <m/>
    <n v="-1.28"/>
    <n v="0.08"/>
    <n v="-0.4"/>
    <n v="-1.2799999999999999E-4"/>
    <x v="1"/>
    <n v="1"/>
    <s v="2026.06.02 18:30:17"/>
    <n v="-0.88"/>
    <x v="2"/>
    <m/>
    <m/>
    <m/>
    <m/>
    <m/>
    <m/>
    <m/>
    <m/>
    <m/>
    <m/>
    <m/>
    <m/>
    <m/>
    <m/>
    <m/>
    <m/>
    <m/>
    <m/>
  </r>
  <r>
    <n v="94934822"/>
    <s v="2026.06.02 18:37:59"/>
    <s v="2026.06.02 18:47:47"/>
    <x v="0"/>
    <x v="1"/>
    <n v="4507.63"/>
    <m/>
    <n v="-14.9"/>
    <n v="0.1"/>
    <n v="-0.5"/>
    <n v="-1.49E-3"/>
    <x v="1"/>
    <n v="1"/>
    <s v="2026.06.02 18:37:59"/>
    <n v="-14.4"/>
    <x v="2"/>
    <m/>
    <m/>
    <m/>
    <m/>
    <m/>
    <m/>
    <m/>
    <m/>
    <m/>
    <m/>
    <m/>
    <m/>
    <m/>
    <m/>
    <m/>
    <m/>
    <m/>
    <m/>
  </r>
  <r>
    <n v="94934742"/>
    <s v="2026.06.02 18:38:48"/>
    <s v="2026.06.02 18:47:47"/>
    <x v="0"/>
    <x v="1"/>
    <n v="4506.6000000000004"/>
    <m/>
    <n v="-4.5999999999999996"/>
    <n v="0.1"/>
    <n v="-0.5"/>
    <n v="-4.5999999999999996E-4"/>
    <x v="1"/>
    <n v="1"/>
    <s v="2026.06.02 18:38:48"/>
    <n v="-4.0999999999999996"/>
    <x v="2"/>
    <m/>
    <m/>
    <m/>
    <m/>
    <m/>
    <m/>
    <m/>
    <m/>
    <m/>
    <m/>
    <m/>
    <m/>
    <m/>
    <m/>
    <m/>
    <m/>
    <m/>
    <m/>
  </r>
  <r>
    <n v="94935743"/>
    <s v="2026.06.02 18:41:23"/>
    <s v="2026.06.02 18:47:47"/>
    <x v="0"/>
    <x v="1"/>
    <n v="4500.79"/>
    <m/>
    <n v="53.5"/>
    <n v="0.1"/>
    <n v="-0.5"/>
    <n v="5.3499999999999997E-3"/>
    <x v="0"/>
    <n v="1"/>
    <s v="2026.06.02 18:41:23"/>
    <n v="54"/>
    <x v="2"/>
    <m/>
    <m/>
    <m/>
    <m/>
    <m/>
    <m/>
    <m/>
    <m/>
    <m/>
    <m/>
    <m/>
    <m/>
    <m/>
    <m/>
    <m/>
    <m/>
    <m/>
    <m/>
  </r>
  <r>
    <n v="94936469"/>
    <s v="2026.06.02 18:45:43"/>
    <s v="2026.06.02 18:47:47"/>
    <x v="0"/>
    <x v="1"/>
    <n v="4502.1000000000004"/>
    <m/>
    <n v="40.4"/>
    <n v="0.1"/>
    <n v="-0.5"/>
    <n v="4.0400000000000002E-3"/>
    <x v="0"/>
    <n v="1"/>
    <s v="2026.06.02 18:45:43"/>
    <n v="40.9"/>
    <x v="2"/>
    <m/>
    <m/>
    <m/>
    <m/>
    <m/>
    <m/>
    <m/>
    <m/>
    <m/>
    <m/>
    <m/>
    <m/>
    <m/>
    <m/>
    <m/>
    <m/>
    <m/>
    <m/>
  </r>
  <r>
    <n v="95008780"/>
    <s v="2026.06.03 07:03:44"/>
    <s v="2026.06.03 07:57:00"/>
    <x v="0"/>
    <x v="1"/>
    <n v="4485.76"/>
    <m/>
    <n v="-50.959999999999994"/>
    <n v="0.03"/>
    <n v="-0.16"/>
    <n v="-5.095999999999999E-3"/>
    <x v="1"/>
    <n v="1"/>
    <s v="2026.06.03 07:03:44"/>
    <n v="-50.8"/>
    <x v="3"/>
    <m/>
    <m/>
    <m/>
    <m/>
    <m/>
    <m/>
    <m/>
    <m/>
    <m/>
    <m/>
    <m/>
    <m/>
    <m/>
    <m/>
    <m/>
    <m/>
    <m/>
    <m/>
  </r>
  <r>
    <n v="95010950"/>
    <s v="2026.06.03 07:48:29"/>
    <s v="2026.06.03 10:40:59"/>
    <x v="0"/>
    <x v="0"/>
    <n v="30697.9"/>
    <m/>
    <n v="-12.9"/>
    <n v="0.8"/>
    <n v="0"/>
    <n v="-1.2900000000000001E-3"/>
    <x v="1"/>
    <n v="1"/>
    <s v="2026.06.03 07:48:29"/>
    <n v="-12.9"/>
    <x v="3"/>
    <m/>
    <m/>
    <m/>
    <m/>
    <m/>
    <m/>
    <m/>
    <m/>
    <m/>
    <m/>
    <m/>
    <m/>
    <m/>
    <m/>
    <m/>
    <m/>
    <m/>
    <m/>
  </r>
  <r>
    <n v="95035877"/>
    <s v="2026.06.03 10:17:59"/>
    <s v="2026.06.03 10:40:59"/>
    <x v="0"/>
    <x v="0"/>
    <n v="30720.738000000001"/>
    <m/>
    <n v="-38.72"/>
    <n v="1"/>
    <n v="0"/>
    <n v="-3.872E-3"/>
    <x v="1"/>
    <n v="1"/>
    <s v="2026.06.03 10:17:59"/>
    <n v="-38.72"/>
    <x v="3"/>
    <m/>
    <m/>
    <m/>
    <m/>
    <m/>
    <m/>
    <m/>
    <m/>
    <m/>
    <m/>
    <m/>
    <m/>
    <m/>
    <m/>
    <m/>
    <m/>
    <m/>
    <m/>
  </r>
  <r>
    <n v="95116943"/>
    <s v="2026.06.03 16:20:43"/>
    <s v="2026.06.03 16:44:33"/>
    <x v="1"/>
    <x v="1"/>
    <n v="4454.46"/>
    <m/>
    <n v="95.08"/>
    <n v="0.04"/>
    <n v="-0.2"/>
    <n v="9.5079999999999991E-3"/>
    <x v="0"/>
    <n v="1"/>
    <s v="2026.06.03 16:20:43"/>
    <n v="95.28"/>
    <x v="3"/>
    <m/>
    <m/>
    <m/>
    <m/>
    <m/>
    <m/>
    <m/>
    <m/>
    <m/>
    <m/>
    <m/>
    <m/>
    <m/>
    <m/>
    <m/>
    <m/>
    <m/>
    <m/>
  </r>
  <r>
    <n v="95248849"/>
    <s v="2026.06.04 08:08:03"/>
    <s v="2026.06.04 11:21:58"/>
    <x v="0"/>
    <x v="1"/>
    <n v="4475.84"/>
    <m/>
    <n v="-96.96"/>
    <n v="0.06"/>
    <n v="-0.3"/>
    <n v="-9.6959999999999998E-3"/>
    <x v="1"/>
    <n v="1"/>
    <s v="2026.06.04 08:08:03"/>
    <n v="-96.66"/>
    <x v="4"/>
    <m/>
    <m/>
    <m/>
    <m/>
    <m/>
    <m/>
    <m/>
    <m/>
    <m/>
    <m/>
    <m/>
    <m/>
    <m/>
    <m/>
    <m/>
    <m/>
    <m/>
    <m/>
  </r>
  <r>
    <n v="95247215"/>
    <s v="2026.06.04 09:40:56"/>
    <s v="2026.06.04 11:19:44"/>
    <x v="0"/>
    <x v="0"/>
    <n v="30506.263999999999"/>
    <m/>
    <n v="-32.74"/>
    <n v="0.3"/>
    <n v="0"/>
    <n v="-3.274E-3"/>
    <x v="1"/>
    <n v="1"/>
    <s v="2026.06.04 09:40:56"/>
    <n v="-32.74"/>
    <x v="4"/>
    <m/>
    <m/>
    <m/>
    <m/>
    <m/>
    <m/>
    <m/>
    <m/>
    <m/>
    <m/>
    <m/>
    <m/>
    <m/>
    <m/>
    <m/>
    <m/>
    <m/>
    <m/>
  </r>
  <r>
    <n v="95246531"/>
    <s v="2026.06.04 09:47:21"/>
    <s v="2026.06.04 11:21:58"/>
    <x v="0"/>
    <x v="1"/>
    <n v="4465.82"/>
    <m/>
    <n v="-36.839999999999996"/>
    <n v="0.06"/>
    <n v="-0.3"/>
    <n v="-3.6839999999999998E-3"/>
    <x v="1"/>
    <n v="1"/>
    <s v="2026.06.04 09:47:21"/>
    <n v="-36.54"/>
    <x v="4"/>
    <m/>
    <m/>
    <m/>
    <m/>
    <m/>
    <m/>
    <m/>
    <m/>
    <m/>
    <m/>
    <m/>
    <m/>
    <m/>
    <m/>
    <m/>
    <m/>
    <m/>
    <m/>
  </r>
  <r>
    <n v="95287835"/>
    <s v="2026.06.04 11:31:23"/>
    <s v="2026.06.04 14:47:02"/>
    <x v="0"/>
    <x v="1"/>
    <n v="4464.32"/>
    <m/>
    <n v="199.37999999999997"/>
    <n v="0.06"/>
    <n v="-0.3"/>
    <n v="1.9937999999999997E-2"/>
    <x v="0"/>
    <n v="1"/>
    <s v="2026.06.04 11:31:23"/>
    <n v="199.67999999999998"/>
    <x v="4"/>
    <m/>
    <m/>
    <m/>
    <m/>
    <m/>
    <m/>
    <m/>
    <m/>
    <m/>
    <m/>
    <m/>
    <m/>
    <m/>
    <m/>
    <m/>
    <m/>
    <m/>
    <m/>
  </r>
  <r>
    <n v="95287843"/>
    <s v="2026.06.04 11:31:25"/>
    <s v="2026.06.04 14:47:02"/>
    <x v="0"/>
    <x v="1"/>
    <n v="4464.28"/>
    <m/>
    <n v="199.61999999999998"/>
    <n v="0.06"/>
    <n v="-0.3"/>
    <n v="1.9961999999999997E-2"/>
    <x v="0"/>
    <n v="1"/>
    <s v="2026.06.04 11:31:25"/>
    <n v="199.92"/>
    <x v="4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  <r>
    <m/>
    <m/>
    <m/>
    <x v="2"/>
    <x v="2"/>
    <m/>
    <m/>
    <m/>
    <m/>
    <m/>
    <m/>
    <x v="2"/>
    <m/>
    <m/>
    <m/>
    <x v="5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 rowHeaderCaption="Symbol">
  <location ref="T22:U25" firstHeaderRow="1" firstDataRow="1" firstDataCol="1"/>
  <pivotFields count="34">
    <pivotField showAll="0"/>
    <pivotField showAll="0"/>
    <pivotField showAll="0"/>
    <pivotField showAll="0"/>
    <pivotField axis="axisRow" showAll="0">
      <items count="5">
        <item h="1" x="2"/>
        <item h="1" m="1"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 v="2"/>
    </i>
    <i>
      <x v="3"/>
    </i>
    <i t="grand">
      <x/>
    </i>
  </rowItems>
  <colItems count="1">
    <i/>
  </colItems>
  <dataFields count="1">
    <dataField name="Average of gainAmount" fld="7" subtotal="average" baseField="4" baseItem="1"/>
  </dataFields>
  <formats count="10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4" type="button" dataOnly="0" labelOnly="1" outline="0" axis="axisRow" fieldPosition="0"/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4" type="button" dataOnly="0" labelOnly="1" outline="0" axis="axisRow" fieldPosition="0"/>
    </format>
    <format dxfId="33">
      <pivotArea dataOnly="0" labelOnly="1" grandRow="1" outline="0" fieldPosition="0"/>
    </format>
    <format dxfId="32">
      <pivotArea dataOnly="0" labelOnly="1" outline="0" axis="axisValues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 rowHeaderCaption="Symbol">
  <location ref="T5:U8" firstHeaderRow="1" firstDataRow="1" firstDataCol="1"/>
  <pivotFields count="34">
    <pivotField showAll="0"/>
    <pivotField showAll="0"/>
    <pivotField showAll="0"/>
    <pivotField showAll="0"/>
    <pivotField axis="axisRow" showAll="0" sortType="descending">
      <items count="5">
        <item h="1" x="2"/>
        <item h="1" m="1"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 v="2"/>
    </i>
    <i>
      <x v="3"/>
    </i>
    <i t="grand">
      <x/>
    </i>
  </rowItems>
  <colItems count="1">
    <i/>
  </colItems>
  <dataFields count="1">
    <dataField name="PnL" fld="7" baseField="4" baseItem="40" numFmtId="164"/>
  </dataFields>
  <formats count="10"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4" type="button" dataOnly="0" labelOnly="1" outline="0" axis="axisRow" fieldPosition="0"/>
    </format>
    <format dxfId="48">
      <pivotArea dataOnly="0" labelOnly="1" grandRow="1" outline="0" fieldPosition="0"/>
    </format>
    <format dxfId="47">
      <pivotArea dataOnly="0" labelOnly="1" outline="0" axis="axisValues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4" type="button" dataOnly="0" labelOnly="1" outline="0" axis="axisRow" fieldPosition="0"/>
    </format>
    <format dxfId="43">
      <pivotArea dataOnly="0" labelOnly="1" grandRow="1" outline="0" fieldPosition="0"/>
    </format>
    <format dxfId="42">
      <pivotArea dataOnly="0" labelOnly="1" outline="0" axis="axisValues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6" indent="0" outline="1" outlineData="1" multipleFieldFilters="0" chartFormat="8">
  <location ref="A2:B8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gainAmount" fld="7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 chartFormat="4">
  <location ref="D2:E9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gainAmount" fld="7" baseField="14" baseItem="2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L2:L3" firstHeaderRow="1" firstDataRow="1" firstDataCol="0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gainPercent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P2:Q5" firstHeaderRow="1" firstDataRow="1" firstDataCol="1"/>
  <pivotFields count="34">
    <pivotField dataField="1" showAll="0"/>
    <pivotField showAll="0"/>
    <pivotField showAll="0"/>
    <pivotField axis="axisRow" showAll="0">
      <items count="5">
        <item m="1" x="3"/>
        <item h="1"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2"/>
    </i>
    <i>
      <x v="3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 chartFormat="1">
  <location ref="G2:H3" firstHeaderRow="1" firstDataRow="1" firstDataCol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m="1" x="3"/>
        <item m="1" x="4"/>
        <item h="1" x="2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">
    <i t="grand">
      <x/>
    </i>
  </rowItems>
  <colItems count="1">
    <i/>
  </colItems>
  <dataFields count="1">
    <dataField name="Count of id" fld="0" subtotal="count" showDataAs="percentOfTotal" baseField="11" baseItem="0" numFmtId="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 chartFormat="3">
  <location ref="R2:S5" firstHeaderRow="1" firstDataRow="1" firstDataCol="1"/>
  <pivotFields count="34">
    <pivotField dataField="1" showAll="0"/>
    <pivotField showAll="0"/>
    <pivotField showAll="0"/>
    <pivotField axis="axisRow" showAll="0">
      <items count="5">
        <item h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2"/>
    </i>
    <i>
      <x v="3"/>
    </i>
    <i t="grand">
      <x/>
    </i>
  </rowItems>
  <colItems count="1">
    <i/>
  </colItems>
  <dataFields count="1">
    <dataField name="Count of id" fld="0" subtotal="count" showDataAs="percentOfTotal" baseField="3" baseItem="0" numFmtId="9"/>
  </dataFields>
  <chartFormats count="4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J2:K5" firstHeaderRow="1" firstDataRow="1" firstDataCol="1"/>
  <pivotFields count="34">
    <pivotField showAll="0"/>
    <pivotField showAll="0"/>
    <pivotField showAll="0"/>
    <pivotField axis="axisRow" showAll="0">
      <items count="5">
        <item m="1" x="3"/>
        <item h="1"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2"/>
    </i>
    <i>
      <x v="3"/>
    </i>
    <i t="grand">
      <x/>
    </i>
  </rowItems>
  <colItems count="1">
    <i/>
  </colItems>
  <dataFields count="1">
    <dataField name="Average of gainAmount" fld="7" subtotal="average" baseField="0" baseItem="64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N2:N3" firstHeaderRow="1" firstDataRow="1" firstDataCol="0"/>
  <pivotFields count="3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gainAmount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AI308" totalsRowShown="0">
  <autoFilter ref="A1:AI308"/>
  <tableColumns count="35">
    <tableColumn id="1" name="id"/>
    <tableColumn id="2" name="entryDate" dataDxfId="31"/>
    <tableColumn id="3" name="exitDate" dataDxfId="30"/>
    <tableColumn id="4" name="type"/>
    <tableColumn id="5" name="symbol"/>
    <tableColumn id="6" name="entryPrice"/>
    <tableColumn id="7" name="exitPrice"/>
    <tableColumn id="8" name="gainAmount"/>
    <tableColumn id="9" name="quantity"/>
    <tableColumn id="10" name="fees"/>
    <tableColumn id="11" name="gainPercent"/>
    <tableColumn id="12" name="Win"/>
    <tableColumn id="13" name="tradeCount"/>
    <tableColumn id="14" name="entryDateTime"/>
    <tableColumn id="15" name="exitDateTime"/>
    <tableColumn id="16" name="accProfit"/>
    <tableColumn id="17" name="Extra2"/>
    <tableColumn id="18" name="Extra3"/>
    <tableColumn id="19" name="Extra4"/>
    <tableColumn id="20" name="Extra5"/>
    <tableColumn id="21" name="Extra6"/>
    <tableColumn id="22" name="Extra7"/>
    <tableColumn id="23" name="Extra8"/>
    <tableColumn id="24" name="Extra9"/>
    <tableColumn id="25" name="Extra10"/>
    <tableColumn id="26" name="Extra11"/>
    <tableColumn id="27" name="Extra12"/>
    <tableColumn id="28" name="Extra13"/>
    <tableColumn id="29" name="Extra14"/>
    <tableColumn id="30" name="Extra15"/>
    <tableColumn id="31" name="Extra16"/>
    <tableColumn id="32" name="Extra17"/>
    <tableColumn id="33" name="Extra18"/>
    <tableColumn id="34" name="Extra19"/>
    <tableColumn id="35" name="Extra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I308" totalsRowShown="0">
  <autoFilter ref="A1:AI308">
    <filterColumn colId="11">
      <filters>
        <filter val="1"/>
      </filters>
    </filterColumn>
  </autoFilter>
  <tableColumns count="35">
    <tableColumn id="1" name="id"/>
    <tableColumn id="2" name="entryDate" dataDxfId="29"/>
    <tableColumn id="3" name="exitDate" dataDxfId="28"/>
    <tableColumn id="4" name="type"/>
    <tableColumn id="5" name="symbol"/>
    <tableColumn id="6" name="entryPrice"/>
    <tableColumn id="7" name="exitPrice"/>
    <tableColumn id="8" name="gainAmount"/>
    <tableColumn id="9" name="quantity"/>
    <tableColumn id="10" name="fees"/>
    <tableColumn id="11" name="gainPercent"/>
    <tableColumn id="12" name="Win"/>
    <tableColumn id="13" name="tradeCount"/>
    <tableColumn id="14" name="entryDateTime"/>
    <tableColumn id="15" name="exitDateTime"/>
    <tableColumn id="16" name="accProfit"/>
    <tableColumn id="17" name="Extra2"/>
    <tableColumn id="18" name="Extra3"/>
    <tableColumn id="19" name="Extra4"/>
    <tableColumn id="20" name="Extra5"/>
    <tableColumn id="21" name="Extra6"/>
    <tableColumn id="22" name="Extra7"/>
    <tableColumn id="23" name="Extra8"/>
    <tableColumn id="24" name="Extra9"/>
    <tableColumn id="25" name="Extra10"/>
    <tableColumn id="26" name="Extra11"/>
    <tableColumn id="27" name="Extra12"/>
    <tableColumn id="28" name="Extra13"/>
    <tableColumn id="29" name="Extra14"/>
    <tableColumn id="30" name="Extra15"/>
    <tableColumn id="31" name="Extra16"/>
    <tableColumn id="32" name="Extra17"/>
    <tableColumn id="33" name="Extra18"/>
    <tableColumn id="34" name="Extra19"/>
    <tableColumn id="35" name="Extra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0.xml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3:X91"/>
  <sheetViews>
    <sheetView zoomScale="80" zoomScaleNormal="80" workbookViewId="0">
      <selection activeCell="F2" sqref="F2"/>
    </sheetView>
  </sheetViews>
  <sheetFormatPr defaultColWidth="9.1796875" defaultRowHeight="14.5" x14ac:dyDescent="0.35"/>
  <cols>
    <col min="1" max="18" width="9.1796875" style="12"/>
    <col min="19" max="19" width="17" style="12" customWidth="1"/>
    <col min="20" max="20" width="11.81640625" style="12" customWidth="1"/>
    <col min="21" max="21" width="8.1796875" style="12" customWidth="1"/>
    <col min="22" max="22" width="21.81640625" style="12" bestFit="1" customWidth="1"/>
    <col min="23" max="23" width="9.1796875" style="12"/>
    <col min="24" max="24" width="4.54296875" style="12" customWidth="1"/>
    <col min="25" max="16384" width="9.1796875" style="12"/>
  </cols>
  <sheetData>
    <row r="3" spans="1:24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24" x14ac:dyDescent="0.35">
      <c r="A4" s="91" t="s">
        <v>49</v>
      </c>
      <c r="B4" s="91"/>
      <c r="C4" s="91"/>
      <c r="D4" s="91" t="s">
        <v>45</v>
      </c>
      <c r="E4" s="91"/>
      <c r="F4" s="91"/>
      <c r="G4" s="91" t="s">
        <v>133</v>
      </c>
      <c r="H4" s="91"/>
      <c r="I4" s="91"/>
      <c r="J4" s="91" t="s">
        <v>47</v>
      </c>
      <c r="K4" s="91"/>
      <c r="L4" s="91"/>
      <c r="M4" s="91" t="s">
        <v>61</v>
      </c>
      <c r="N4" s="91"/>
      <c r="O4" s="91"/>
      <c r="P4" s="91" t="s">
        <v>43</v>
      </c>
      <c r="Q4" s="91"/>
      <c r="R4" s="91"/>
      <c r="S4" s="13"/>
      <c r="T4" s="12" t="s">
        <v>51</v>
      </c>
      <c r="V4" s="13"/>
      <c r="W4" s="13"/>
      <c r="X4" s="13"/>
    </row>
    <row r="5" spans="1:24" ht="15" customHeight="1" x14ac:dyDescent="0.35">
      <c r="A5" s="95">
        <f>GETPIVOTDATA("gainAmount",Pivots!$N$2)</f>
        <v>224.94999999999985</v>
      </c>
      <c r="B5" s="95"/>
      <c r="C5" s="95"/>
      <c r="D5" s="96">
        <f>COUNTIF(Trades!M:M,1)</f>
        <v>13</v>
      </c>
      <c r="E5" s="96"/>
      <c r="F5" s="96"/>
      <c r="G5" s="96">
        <f>COUNTIF(Trades!M:M,0)</f>
        <v>19</v>
      </c>
      <c r="H5" s="96"/>
      <c r="I5" s="96"/>
      <c r="J5" s="97">
        <f>GETPIVOTDATA("gainAmount",Pivots!$J$2)</f>
        <v>7.0296874999999979</v>
      </c>
      <c r="K5" s="97"/>
      <c r="L5" s="97"/>
      <c r="M5" s="92">
        <f>D5/P5</f>
        <v>0.40625</v>
      </c>
      <c r="N5" s="92"/>
      <c r="O5" s="92"/>
      <c r="P5" s="93">
        <f>D5+G5</f>
        <v>32</v>
      </c>
      <c r="Q5" s="94"/>
      <c r="R5" s="94"/>
      <c r="S5" s="13"/>
      <c r="T5" s="70" t="s">
        <v>50</v>
      </c>
      <c r="U5" s="70" t="s">
        <v>48</v>
      </c>
      <c r="V5" s="13"/>
      <c r="W5" s="13"/>
      <c r="X5" s="13"/>
    </row>
    <row r="6" spans="1:24" ht="15" customHeight="1" x14ac:dyDescent="0.35">
      <c r="A6" s="95"/>
      <c r="B6" s="95"/>
      <c r="C6" s="95"/>
      <c r="D6" s="96"/>
      <c r="E6" s="96"/>
      <c r="F6" s="96"/>
      <c r="G6" s="96"/>
      <c r="H6" s="96"/>
      <c r="I6" s="96"/>
      <c r="J6" s="97"/>
      <c r="K6" s="97"/>
      <c r="L6" s="97"/>
      <c r="M6" s="92"/>
      <c r="N6" s="92"/>
      <c r="O6" s="92"/>
      <c r="P6" s="94"/>
      <c r="Q6" s="94"/>
      <c r="R6" s="94"/>
      <c r="S6" s="13"/>
      <c r="T6" s="14" t="s">
        <v>56</v>
      </c>
      <c r="U6" s="15">
        <v>313.58000000000004</v>
      </c>
      <c r="V6" s="13"/>
      <c r="W6" s="13"/>
      <c r="X6" s="13"/>
    </row>
    <row r="7" spans="1:24" ht="15" customHeight="1" x14ac:dyDescent="0.35">
      <c r="A7" s="95"/>
      <c r="B7" s="95"/>
      <c r="C7" s="95"/>
      <c r="D7" s="96"/>
      <c r="E7" s="96"/>
      <c r="F7" s="96"/>
      <c r="G7" s="96"/>
      <c r="H7" s="96"/>
      <c r="I7" s="96"/>
      <c r="J7" s="97"/>
      <c r="K7" s="97"/>
      <c r="L7" s="97"/>
      <c r="M7" s="92"/>
      <c r="N7" s="92"/>
      <c r="O7" s="92"/>
      <c r="P7" s="94"/>
      <c r="Q7" s="94"/>
      <c r="R7" s="94"/>
      <c r="S7" s="13"/>
      <c r="T7" s="14" t="s">
        <v>135</v>
      </c>
      <c r="U7" s="15">
        <v>-88.630000000000024</v>
      </c>
      <c r="V7" s="13"/>
      <c r="W7" s="13"/>
      <c r="X7" s="13"/>
    </row>
    <row r="8" spans="1:24" ht="15" customHeight="1" x14ac:dyDescent="0.35">
      <c r="A8" s="95"/>
      <c r="B8" s="95"/>
      <c r="C8" s="95"/>
      <c r="D8" s="96"/>
      <c r="E8" s="96"/>
      <c r="F8" s="96"/>
      <c r="G8" s="96"/>
      <c r="H8" s="96"/>
      <c r="I8" s="96"/>
      <c r="J8" s="97"/>
      <c r="K8" s="97"/>
      <c r="L8" s="97"/>
      <c r="M8" s="92"/>
      <c r="N8" s="92"/>
      <c r="O8" s="92"/>
      <c r="P8" s="94"/>
      <c r="Q8" s="94"/>
      <c r="R8" s="94"/>
      <c r="S8" s="13"/>
      <c r="T8" s="14" t="s">
        <v>34</v>
      </c>
      <c r="U8" s="15">
        <v>224.95000000000002</v>
      </c>
      <c r="V8" s="13"/>
      <c r="W8" s="13"/>
      <c r="X8" s="13"/>
    </row>
    <row r="9" spans="1:24" x14ac:dyDescent="0.35">
      <c r="T9"/>
      <c r="U9"/>
    </row>
    <row r="10" spans="1:24" x14ac:dyDescent="0.35">
      <c r="T10"/>
      <c r="U10"/>
    </row>
    <row r="11" spans="1:24" x14ac:dyDescent="0.35">
      <c r="T11"/>
      <c r="U11"/>
    </row>
    <row r="12" spans="1:24" x14ac:dyDescent="0.35">
      <c r="T12"/>
      <c r="U12"/>
    </row>
    <row r="13" spans="1:24" x14ac:dyDescent="0.35">
      <c r="T13"/>
      <c r="U13"/>
    </row>
    <row r="14" spans="1:24" x14ac:dyDescent="0.35">
      <c r="T14"/>
      <c r="U14"/>
    </row>
    <row r="15" spans="1:24" x14ac:dyDescent="0.35">
      <c r="T15"/>
      <c r="U15"/>
    </row>
    <row r="16" spans="1:24" x14ac:dyDescent="0.35">
      <c r="T16"/>
      <c r="U16"/>
    </row>
    <row r="21" spans="20:22" x14ac:dyDescent="0.35">
      <c r="T21" s="14" t="s">
        <v>52</v>
      </c>
    </row>
    <row r="22" spans="20:22" x14ac:dyDescent="0.35">
      <c r="T22" s="70" t="s">
        <v>50</v>
      </c>
      <c r="U22" s="70" t="s">
        <v>41</v>
      </c>
      <c r="V22"/>
    </row>
    <row r="23" spans="20:22" x14ac:dyDescent="0.35">
      <c r="T23" s="14" t="s">
        <v>56</v>
      </c>
      <c r="U23" s="18">
        <v>31.358000000000004</v>
      </c>
      <c r="V23"/>
    </row>
    <row r="24" spans="20:22" x14ac:dyDescent="0.35">
      <c r="T24" s="14" t="s">
        <v>135</v>
      </c>
      <c r="U24" s="18">
        <v>-4.0286363636363651</v>
      </c>
      <c r="V24"/>
    </row>
    <row r="25" spans="20:22" x14ac:dyDescent="0.35">
      <c r="T25" s="14" t="s">
        <v>34</v>
      </c>
      <c r="U25" s="18">
        <v>7.0296875000000005</v>
      </c>
      <c r="V25"/>
    </row>
    <row r="26" spans="20:22" x14ac:dyDescent="0.35">
      <c r="T26"/>
      <c r="U26"/>
    </row>
    <row r="27" spans="20:22" x14ac:dyDescent="0.35">
      <c r="T27"/>
      <c r="U27"/>
    </row>
    <row r="28" spans="20:22" x14ac:dyDescent="0.35">
      <c r="T28"/>
      <c r="U28"/>
    </row>
    <row r="29" spans="20:22" x14ac:dyDescent="0.35">
      <c r="T29"/>
      <c r="U29"/>
    </row>
    <row r="30" spans="20:22" x14ac:dyDescent="0.35">
      <c r="T30"/>
      <c r="U30"/>
    </row>
    <row r="31" spans="20:22" x14ac:dyDescent="0.35">
      <c r="T31"/>
      <c r="U31"/>
    </row>
    <row r="32" spans="20:22" x14ac:dyDescent="0.35">
      <c r="T32"/>
      <c r="U32"/>
    </row>
    <row r="33" spans="20:21" x14ac:dyDescent="0.35">
      <c r="T33"/>
      <c r="U33"/>
    </row>
    <row r="34" spans="20:21" x14ac:dyDescent="0.35">
      <c r="T34"/>
      <c r="U34"/>
    </row>
    <row r="35" spans="20:21" x14ac:dyDescent="0.35">
      <c r="T35"/>
      <c r="U35"/>
    </row>
    <row r="36" spans="20:21" x14ac:dyDescent="0.35">
      <c r="T36"/>
      <c r="U36"/>
    </row>
    <row r="37" spans="20:21" x14ac:dyDescent="0.35">
      <c r="T37"/>
      <c r="U37"/>
    </row>
    <row r="38" spans="20:21" x14ac:dyDescent="0.35">
      <c r="T38"/>
      <c r="U38"/>
    </row>
    <row r="39" spans="20:21" x14ac:dyDescent="0.35">
      <c r="T39"/>
      <c r="U39"/>
    </row>
    <row r="40" spans="20:21" x14ac:dyDescent="0.35">
      <c r="T40"/>
      <c r="U40"/>
    </row>
    <row r="41" spans="20:21" x14ac:dyDescent="0.35">
      <c r="T41"/>
      <c r="U41"/>
    </row>
    <row r="42" spans="20:21" x14ac:dyDescent="0.35">
      <c r="T42"/>
      <c r="U42"/>
    </row>
    <row r="43" spans="20:21" x14ac:dyDescent="0.35">
      <c r="T43"/>
      <c r="U43"/>
    </row>
    <row r="44" spans="20:21" x14ac:dyDescent="0.35">
      <c r="T44"/>
      <c r="U44"/>
    </row>
    <row r="45" spans="20:21" x14ac:dyDescent="0.35">
      <c r="T45"/>
      <c r="U45"/>
    </row>
    <row r="46" spans="20:21" x14ac:dyDescent="0.35">
      <c r="T46"/>
      <c r="U46"/>
    </row>
    <row r="47" spans="20:21" x14ac:dyDescent="0.35">
      <c r="T47"/>
      <c r="U47"/>
    </row>
    <row r="48" spans="20:21" x14ac:dyDescent="0.35">
      <c r="T48"/>
      <c r="U48"/>
    </row>
    <row r="49" spans="20:21" x14ac:dyDescent="0.35">
      <c r="T49"/>
      <c r="U49"/>
    </row>
    <row r="50" spans="20:21" x14ac:dyDescent="0.35">
      <c r="T50"/>
      <c r="U50"/>
    </row>
    <row r="51" spans="20:21" x14ac:dyDescent="0.35">
      <c r="T51"/>
      <c r="U51"/>
    </row>
    <row r="52" spans="20:21" x14ac:dyDescent="0.35">
      <c r="T52"/>
      <c r="U52"/>
    </row>
    <row r="53" spans="20:21" x14ac:dyDescent="0.35">
      <c r="T53"/>
      <c r="U53"/>
    </row>
    <row r="54" spans="20:21" x14ac:dyDescent="0.35">
      <c r="T54"/>
      <c r="U54"/>
    </row>
    <row r="55" spans="20:21" x14ac:dyDescent="0.35">
      <c r="T55"/>
      <c r="U55"/>
    </row>
    <row r="56" spans="20:21" x14ac:dyDescent="0.35">
      <c r="T56"/>
      <c r="U56"/>
    </row>
    <row r="57" spans="20:21" x14ac:dyDescent="0.35">
      <c r="T57"/>
      <c r="U57"/>
    </row>
    <row r="58" spans="20:21" x14ac:dyDescent="0.35">
      <c r="T58"/>
      <c r="U58"/>
    </row>
    <row r="59" spans="20:21" x14ac:dyDescent="0.35">
      <c r="T59"/>
      <c r="U59"/>
    </row>
    <row r="60" spans="20:21" x14ac:dyDescent="0.35">
      <c r="T60"/>
      <c r="U60"/>
    </row>
    <row r="61" spans="20:21" x14ac:dyDescent="0.35">
      <c r="T61"/>
      <c r="U61"/>
    </row>
    <row r="62" spans="20:21" x14ac:dyDescent="0.35">
      <c r="T62"/>
      <c r="U62"/>
    </row>
    <row r="63" spans="20:21" x14ac:dyDescent="0.35">
      <c r="T63"/>
      <c r="U63"/>
    </row>
    <row r="64" spans="20:21" x14ac:dyDescent="0.35">
      <c r="T64"/>
      <c r="U64"/>
    </row>
    <row r="65" spans="20:21" x14ac:dyDescent="0.35">
      <c r="T65"/>
      <c r="U65"/>
    </row>
    <row r="66" spans="20:21" x14ac:dyDescent="0.35">
      <c r="T66"/>
      <c r="U66"/>
    </row>
    <row r="67" spans="20:21" x14ac:dyDescent="0.35">
      <c r="T67"/>
      <c r="U67"/>
    </row>
    <row r="68" spans="20:21" x14ac:dyDescent="0.35">
      <c r="T68"/>
      <c r="U68"/>
    </row>
    <row r="69" spans="20:21" x14ac:dyDescent="0.35">
      <c r="T69"/>
      <c r="U69"/>
    </row>
    <row r="70" spans="20:21" x14ac:dyDescent="0.35">
      <c r="T70"/>
      <c r="U70"/>
    </row>
    <row r="71" spans="20:21" x14ac:dyDescent="0.35">
      <c r="T71"/>
      <c r="U71"/>
    </row>
    <row r="72" spans="20:21" x14ac:dyDescent="0.35">
      <c r="T72"/>
      <c r="U72"/>
    </row>
    <row r="73" spans="20:21" x14ac:dyDescent="0.35">
      <c r="T73"/>
      <c r="U73"/>
    </row>
    <row r="74" spans="20:21" x14ac:dyDescent="0.35">
      <c r="T74"/>
      <c r="U74"/>
    </row>
    <row r="75" spans="20:21" x14ac:dyDescent="0.35">
      <c r="T75"/>
      <c r="U75"/>
    </row>
    <row r="76" spans="20:21" x14ac:dyDescent="0.35">
      <c r="T76"/>
      <c r="U76"/>
    </row>
    <row r="77" spans="20:21" x14ac:dyDescent="0.35">
      <c r="T77"/>
      <c r="U77"/>
    </row>
    <row r="78" spans="20:21" x14ac:dyDescent="0.35">
      <c r="T78"/>
      <c r="U78"/>
    </row>
    <row r="79" spans="20:21" x14ac:dyDescent="0.35">
      <c r="T79"/>
      <c r="U79"/>
    </row>
    <row r="80" spans="20:21" x14ac:dyDescent="0.35">
      <c r="T80"/>
      <c r="U80"/>
    </row>
    <row r="81" spans="20:21" x14ac:dyDescent="0.35">
      <c r="T81"/>
      <c r="U81"/>
    </row>
    <row r="82" spans="20:21" x14ac:dyDescent="0.35">
      <c r="T82"/>
      <c r="U82"/>
    </row>
    <row r="83" spans="20:21" x14ac:dyDescent="0.35">
      <c r="T83"/>
      <c r="U83"/>
    </row>
    <row r="84" spans="20:21" x14ac:dyDescent="0.35">
      <c r="T84"/>
      <c r="U84"/>
    </row>
    <row r="85" spans="20:21" x14ac:dyDescent="0.35">
      <c r="T85"/>
      <c r="U85"/>
    </row>
    <row r="86" spans="20:21" x14ac:dyDescent="0.35">
      <c r="T86"/>
      <c r="U86"/>
    </row>
    <row r="87" spans="20:21" x14ac:dyDescent="0.35">
      <c r="T87"/>
      <c r="U87"/>
    </row>
    <row r="88" spans="20:21" x14ac:dyDescent="0.35">
      <c r="T88"/>
      <c r="U88"/>
    </row>
    <row r="89" spans="20:21" x14ac:dyDescent="0.35">
      <c r="T89"/>
      <c r="U89"/>
    </row>
    <row r="90" spans="20:21" x14ac:dyDescent="0.35">
      <c r="T90"/>
      <c r="U90"/>
    </row>
    <row r="91" spans="20:21" x14ac:dyDescent="0.35">
      <c r="T91"/>
      <c r="U91"/>
    </row>
  </sheetData>
  <mergeCells count="12">
    <mergeCell ref="A4:C4"/>
    <mergeCell ref="A5:C8"/>
    <mergeCell ref="D4:F4"/>
    <mergeCell ref="D5:F8"/>
    <mergeCell ref="J5:L8"/>
    <mergeCell ref="G4:I4"/>
    <mergeCell ref="G5:I8"/>
    <mergeCell ref="M4:O4"/>
    <mergeCell ref="J4:L4"/>
    <mergeCell ref="M5:O8"/>
    <mergeCell ref="P4:R4"/>
    <mergeCell ref="P5:R8"/>
  </mergeCell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S9"/>
  <sheetViews>
    <sheetView topLeftCell="J1" workbookViewId="0">
      <selection activeCell="N3" sqref="N3"/>
    </sheetView>
  </sheetViews>
  <sheetFormatPr defaultRowHeight="14.5" x14ac:dyDescent="0.35"/>
  <cols>
    <col min="1" max="1" width="12.36328125" customWidth="1"/>
    <col min="2" max="2" width="17.54296875" customWidth="1"/>
    <col min="4" max="4" width="12.36328125" customWidth="1"/>
    <col min="5" max="5" width="17.54296875" customWidth="1"/>
    <col min="7" max="7" width="12.36328125" customWidth="1"/>
    <col min="8" max="8" width="10.08984375" customWidth="1"/>
    <col min="10" max="10" width="12.36328125" customWidth="1"/>
    <col min="11" max="11" width="20.6328125" bestFit="1" customWidth="1"/>
    <col min="12" max="12" width="18.6328125" customWidth="1"/>
    <col min="13" max="13" width="6.453125" customWidth="1"/>
    <col min="14" max="14" width="17.54296875" customWidth="1"/>
    <col min="16" max="16" width="12.36328125" customWidth="1"/>
    <col min="17" max="17" width="10.08984375" customWidth="1"/>
    <col min="18" max="18" width="12.36328125" customWidth="1"/>
    <col min="19" max="19" width="10.08984375" customWidth="1"/>
  </cols>
  <sheetData>
    <row r="1" spans="1:19" x14ac:dyDescent="0.35">
      <c r="A1" t="s">
        <v>38</v>
      </c>
      <c r="D1" t="s">
        <v>39</v>
      </c>
      <c r="G1" t="s">
        <v>40</v>
      </c>
      <c r="J1" t="s">
        <v>46</v>
      </c>
      <c r="N1" t="s">
        <v>42</v>
      </c>
      <c r="P1" t="s">
        <v>43</v>
      </c>
      <c r="R1" t="s">
        <v>44</v>
      </c>
    </row>
    <row r="2" spans="1:19" x14ac:dyDescent="0.35">
      <c r="A2" s="7" t="s">
        <v>33</v>
      </c>
      <c r="B2" t="s">
        <v>35</v>
      </c>
      <c r="D2" s="7" t="s">
        <v>33</v>
      </c>
      <c r="E2" t="s">
        <v>35</v>
      </c>
      <c r="G2" s="7" t="s">
        <v>33</v>
      </c>
      <c r="H2" t="s">
        <v>36</v>
      </c>
      <c r="J2" s="7" t="s">
        <v>33</v>
      </c>
      <c r="K2" t="s">
        <v>41</v>
      </c>
      <c r="L2" t="s">
        <v>132</v>
      </c>
      <c r="N2" t="s">
        <v>35</v>
      </c>
      <c r="P2" s="7" t="s">
        <v>33</v>
      </c>
      <c r="Q2" t="s">
        <v>36</v>
      </c>
      <c r="R2" s="7" t="s">
        <v>33</v>
      </c>
      <c r="S2" t="s">
        <v>36</v>
      </c>
    </row>
    <row r="3" spans="1:19" x14ac:dyDescent="0.35">
      <c r="A3" s="8" t="s">
        <v>134</v>
      </c>
      <c r="B3" s="9"/>
      <c r="D3" s="8" t="s">
        <v>134</v>
      </c>
      <c r="E3" s="9"/>
      <c r="G3" s="8" t="s">
        <v>34</v>
      </c>
      <c r="H3" s="10" t="e">
        <v>#DIV/0!</v>
      </c>
      <c r="J3" s="8" t="s">
        <v>58</v>
      </c>
      <c r="K3" s="4">
        <v>18.871304347826086</v>
      </c>
      <c r="L3" s="9">
        <v>32</v>
      </c>
      <c r="N3" s="4">
        <v>224.94999999999985</v>
      </c>
      <c r="P3" s="8" t="s">
        <v>58</v>
      </c>
      <c r="Q3" s="9">
        <v>23</v>
      </c>
      <c r="R3" s="8" t="s">
        <v>58</v>
      </c>
      <c r="S3" s="10">
        <v>0.71875</v>
      </c>
    </row>
    <row r="4" spans="1:19" x14ac:dyDescent="0.35">
      <c r="A4" s="8" t="s">
        <v>275</v>
      </c>
      <c r="B4" s="9">
        <v>-482.46000000000009</v>
      </c>
      <c r="D4" s="8" t="s">
        <v>275</v>
      </c>
      <c r="E4" s="9">
        <v>-482.46000000000009</v>
      </c>
      <c r="J4" s="8" t="s">
        <v>201</v>
      </c>
      <c r="K4" s="4">
        <v>-23.232222222222227</v>
      </c>
      <c r="P4" s="8" t="s">
        <v>201</v>
      </c>
      <c r="Q4" s="9">
        <v>9</v>
      </c>
      <c r="R4" s="8" t="s">
        <v>201</v>
      </c>
      <c r="S4" s="10">
        <v>0.28125</v>
      </c>
    </row>
    <row r="5" spans="1:19" x14ac:dyDescent="0.35">
      <c r="A5" s="8" t="s">
        <v>276</v>
      </c>
      <c r="B5" s="9">
        <v>113.05000000000001</v>
      </c>
      <c r="D5" s="8" t="s">
        <v>276</v>
      </c>
      <c r="E5" s="9">
        <v>113.05000000000001</v>
      </c>
      <c r="J5" s="8" t="s">
        <v>34</v>
      </c>
      <c r="K5" s="4">
        <v>7.0296874999999979</v>
      </c>
      <c r="P5" s="8" t="s">
        <v>34</v>
      </c>
      <c r="Q5" s="9">
        <v>32</v>
      </c>
      <c r="R5" s="8" t="s">
        <v>34</v>
      </c>
      <c r="S5" s="10">
        <v>1</v>
      </c>
    </row>
    <row r="6" spans="1:19" x14ac:dyDescent="0.35">
      <c r="A6" s="8" t="s">
        <v>277</v>
      </c>
      <c r="B6" s="9">
        <v>369.4</v>
      </c>
      <c r="D6" s="8" t="s">
        <v>277</v>
      </c>
      <c r="E6" s="9">
        <v>369.4</v>
      </c>
    </row>
    <row r="7" spans="1:19" x14ac:dyDescent="0.35">
      <c r="A7" s="8" t="s">
        <v>300</v>
      </c>
      <c r="B7" s="9">
        <v>-7.4999999999999858</v>
      </c>
      <c r="D7" s="8" t="s">
        <v>300</v>
      </c>
      <c r="E7" s="9">
        <v>-7.4999999999999858</v>
      </c>
    </row>
    <row r="8" spans="1:19" x14ac:dyDescent="0.35">
      <c r="A8" s="8" t="s">
        <v>301</v>
      </c>
      <c r="B8" s="9">
        <v>232.45999999999995</v>
      </c>
      <c r="D8" s="8" t="s">
        <v>301</v>
      </c>
      <c r="E8" s="9">
        <v>232.45999999999995</v>
      </c>
    </row>
    <row r="9" spans="1:19" x14ac:dyDescent="0.35">
      <c r="D9" s="8" t="s">
        <v>34</v>
      </c>
      <c r="E9" s="9">
        <v>224.94999999999987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selection activeCell="A15" sqref="A15:XFD15"/>
    </sheetView>
  </sheetViews>
  <sheetFormatPr defaultRowHeight="14.5" x14ac:dyDescent="0.35"/>
  <cols>
    <col min="1" max="1" width="17.6328125" bestFit="1" customWidth="1"/>
  </cols>
  <sheetData>
    <row r="1" spans="1:15" s="69" customFormat="1" x14ac:dyDescent="0.35">
      <c r="A1" s="69" t="s">
        <v>53</v>
      </c>
      <c r="B1" s="69" t="s">
        <v>251</v>
      </c>
      <c r="C1" s="69" t="s">
        <v>50</v>
      </c>
      <c r="D1" s="69" t="s">
        <v>54</v>
      </c>
      <c r="E1" s="69" t="s">
        <v>252</v>
      </c>
      <c r="F1" s="69" t="s">
        <v>253</v>
      </c>
      <c r="G1" s="69" t="s">
        <v>254</v>
      </c>
      <c r="H1" s="69" t="s">
        <v>255</v>
      </c>
      <c r="I1" s="69" t="s">
        <v>53</v>
      </c>
      <c r="J1" s="69" t="s">
        <v>253</v>
      </c>
      <c r="K1" s="69" t="s">
        <v>256</v>
      </c>
      <c r="L1" s="69" t="s">
        <v>257</v>
      </c>
      <c r="M1" s="69" t="s">
        <v>55</v>
      </c>
    </row>
    <row r="2" spans="1:15" x14ac:dyDescent="0.35">
      <c r="A2" t="s">
        <v>184</v>
      </c>
      <c r="B2">
        <v>94394852</v>
      </c>
      <c r="C2" t="s">
        <v>56</v>
      </c>
      <c r="D2" t="s">
        <v>58</v>
      </c>
      <c r="E2">
        <v>0.5</v>
      </c>
      <c r="F2" t="s">
        <v>185</v>
      </c>
      <c r="G2" t="s">
        <v>186</v>
      </c>
      <c r="H2" t="s">
        <v>187</v>
      </c>
      <c r="I2" t="s">
        <v>188</v>
      </c>
      <c r="J2" t="s">
        <v>189</v>
      </c>
      <c r="K2">
        <v>0</v>
      </c>
      <c r="L2">
        <v>0</v>
      </c>
      <c r="M2">
        <v>8.99</v>
      </c>
    </row>
    <row r="3" spans="1:15" x14ac:dyDescent="0.35">
      <c r="A3" t="s">
        <v>190</v>
      </c>
      <c r="B3">
        <v>94395618</v>
      </c>
      <c r="C3" t="s">
        <v>56</v>
      </c>
      <c r="D3" t="s">
        <v>58</v>
      </c>
      <c r="E3">
        <v>1</v>
      </c>
      <c r="F3" t="s">
        <v>191</v>
      </c>
      <c r="G3" t="s">
        <v>192</v>
      </c>
      <c r="H3" t="s">
        <v>193</v>
      </c>
      <c r="I3" t="s">
        <v>188</v>
      </c>
      <c r="J3" t="s">
        <v>189</v>
      </c>
      <c r="K3">
        <v>0</v>
      </c>
      <c r="L3">
        <v>0</v>
      </c>
      <c r="M3">
        <v>22.8</v>
      </c>
    </row>
    <row r="4" spans="1:15" x14ac:dyDescent="0.35">
      <c r="A4" t="s">
        <v>194</v>
      </c>
      <c r="B4">
        <v>94395131</v>
      </c>
      <c r="C4" t="s">
        <v>56</v>
      </c>
      <c r="D4" t="s">
        <v>58</v>
      </c>
      <c r="E4">
        <v>0.5</v>
      </c>
      <c r="F4" t="s">
        <v>195</v>
      </c>
      <c r="G4" t="s">
        <v>196</v>
      </c>
      <c r="H4" t="s">
        <v>197</v>
      </c>
      <c r="I4" t="s">
        <v>188</v>
      </c>
      <c r="J4" t="s">
        <v>189</v>
      </c>
      <c r="K4">
        <v>0</v>
      </c>
      <c r="L4">
        <v>0</v>
      </c>
      <c r="M4">
        <v>23.29</v>
      </c>
    </row>
    <row r="5" spans="1:15" x14ac:dyDescent="0.35">
      <c r="A5" t="s">
        <v>194</v>
      </c>
      <c r="B5">
        <v>94398668</v>
      </c>
      <c r="C5" t="s">
        <v>56</v>
      </c>
      <c r="D5" t="s">
        <v>58</v>
      </c>
      <c r="E5">
        <v>1</v>
      </c>
      <c r="F5" t="s">
        <v>195</v>
      </c>
      <c r="G5" t="s">
        <v>198</v>
      </c>
      <c r="H5" t="s">
        <v>199</v>
      </c>
      <c r="I5" t="s">
        <v>188</v>
      </c>
      <c r="J5" t="s">
        <v>189</v>
      </c>
      <c r="K5">
        <v>0</v>
      </c>
      <c r="L5">
        <v>0</v>
      </c>
      <c r="M5">
        <v>46.58</v>
      </c>
    </row>
    <row r="6" spans="1:15" x14ac:dyDescent="0.35">
      <c r="A6" t="s">
        <v>200</v>
      </c>
      <c r="B6">
        <v>94414127</v>
      </c>
      <c r="C6" t="s">
        <v>135</v>
      </c>
      <c r="D6" t="s">
        <v>201</v>
      </c>
      <c r="E6">
        <v>0.04</v>
      </c>
      <c r="F6" t="s">
        <v>202</v>
      </c>
      <c r="G6" t="s">
        <v>203</v>
      </c>
      <c r="H6" t="s">
        <v>204</v>
      </c>
      <c r="I6" t="s">
        <v>205</v>
      </c>
      <c r="J6" t="s">
        <v>206</v>
      </c>
      <c r="K6">
        <v>-0.2</v>
      </c>
      <c r="L6">
        <v>0</v>
      </c>
      <c r="M6">
        <v>-92.28</v>
      </c>
    </row>
    <row r="7" spans="1:15" x14ac:dyDescent="0.35">
      <c r="A7" t="s">
        <v>207</v>
      </c>
      <c r="B7">
        <v>94414305</v>
      </c>
      <c r="C7" t="s">
        <v>135</v>
      </c>
      <c r="D7" t="s">
        <v>201</v>
      </c>
      <c r="E7">
        <v>0.04</v>
      </c>
      <c r="F7" t="s">
        <v>208</v>
      </c>
      <c r="G7" t="s">
        <v>203</v>
      </c>
      <c r="H7" t="s">
        <v>209</v>
      </c>
      <c r="I7" t="s">
        <v>205</v>
      </c>
      <c r="J7" t="s">
        <v>210</v>
      </c>
      <c r="K7">
        <v>-0.2</v>
      </c>
      <c r="L7">
        <v>0</v>
      </c>
      <c r="M7">
        <v>-75.44</v>
      </c>
    </row>
    <row r="8" spans="1:15" x14ac:dyDescent="0.35">
      <c r="A8" t="s">
        <v>211</v>
      </c>
      <c r="B8">
        <v>94415166</v>
      </c>
      <c r="C8" t="s">
        <v>135</v>
      </c>
      <c r="D8" t="s">
        <v>201</v>
      </c>
      <c r="E8">
        <v>0.04</v>
      </c>
      <c r="F8" t="s">
        <v>212</v>
      </c>
      <c r="G8" t="s">
        <v>213</v>
      </c>
      <c r="H8" t="s">
        <v>214</v>
      </c>
      <c r="I8" t="s">
        <v>205</v>
      </c>
      <c r="J8" t="s">
        <v>215</v>
      </c>
      <c r="K8">
        <v>-0.2</v>
      </c>
      <c r="L8">
        <v>0</v>
      </c>
      <c r="M8">
        <v>-51.52</v>
      </c>
    </row>
    <row r="9" spans="1:15" x14ac:dyDescent="0.35">
      <c r="A9" t="s">
        <v>216</v>
      </c>
      <c r="B9">
        <v>94416348</v>
      </c>
      <c r="C9" t="s">
        <v>135</v>
      </c>
      <c r="D9" t="s">
        <v>201</v>
      </c>
      <c r="E9">
        <v>0.04</v>
      </c>
      <c r="F9" t="s">
        <v>217</v>
      </c>
      <c r="G9" t="s">
        <v>203</v>
      </c>
      <c r="H9" t="s">
        <v>218</v>
      </c>
      <c r="I9" t="s">
        <v>205</v>
      </c>
      <c r="J9" t="s">
        <v>206</v>
      </c>
      <c r="K9">
        <v>-0.2</v>
      </c>
      <c r="L9">
        <v>0</v>
      </c>
      <c r="M9">
        <v>-32.200000000000003</v>
      </c>
    </row>
    <row r="10" spans="1:15" x14ac:dyDescent="0.35">
      <c r="A10" t="s">
        <v>219</v>
      </c>
      <c r="B10">
        <v>94422856</v>
      </c>
      <c r="C10" t="s">
        <v>135</v>
      </c>
      <c r="D10" t="s">
        <v>201</v>
      </c>
      <c r="E10">
        <v>0.1</v>
      </c>
      <c r="F10" t="s">
        <v>220</v>
      </c>
      <c r="G10" t="s">
        <v>221</v>
      </c>
      <c r="H10" t="s">
        <v>222</v>
      </c>
      <c r="I10" t="s">
        <v>223</v>
      </c>
      <c r="J10" t="s">
        <v>224</v>
      </c>
      <c r="K10">
        <v>-0.5</v>
      </c>
      <c r="L10">
        <v>0</v>
      </c>
      <c r="M10">
        <v>-88.8</v>
      </c>
    </row>
    <row r="11" spans="1:15" x14ac:dyDescent="0.35">
      <c r="A11" t="s">
        <v>225</v>
      </c>
      <c r="B11">
        <v>94429022</v>
      </c>
      <c r="C11" t="s">
        <v>135</v>
      </c>
      <c r="D11" t="s">
        <v>58</v>
      </c>
      <c r="E11">
        <v>0.1</v>
      </c>
      <c r="F11" t="s">
        <v>226</v>
      </c>
      <c r="G11" t="s">
        <v>227</v>
      </c>
      <c r="H11" t="s">
        <v>228</v>
      </c>
      <c r="I11" t="s">
        <v>229</v>
      </c>
      <c r="J11" t="s">
        <v>230</v>
      </c>
      <c r="K11">
        <v>-0.5</v>
      </c>
      <c r="L11">
        <v>0</v>
      </c>
      <c r="M11">
        <v>-82.5</v>
      </c>
    </row>
    <row r="12" spans="1:15" x14ac:dyDescent="0.35">
      <c r="A12" t="s">
        <v>231</v>
      </c>
      <c r="B12">
        <v>94430627</v>
      </c>
      <c r="C12" t="s">
        <v>135</v>
      </c>
      <c r="D12" t="s">
        <v>58</v>
      </c>
      <c r="E12">
        <v>0.1</v>
      </c>
      <c r="F12" t="s">
        <v>232</v>
      </c>
      <c r="G12" t="s">
        <v>233</v>
      </c>
      <c r="I12" t="s">
        <v>234</v>
      </c>
      <c r="J12" t="s">
        <v>235</v>
      </c>
      <c r="K12">
        <v>-0.5</v>
      </c>
      <c r="L12">
        <v>0</v>
      </c>
      <c r="M12">
        <v>-49.6</v>
      </c>
    </row>
    <row r="13" spans="1:15" x14ac:dyDescent="0.35">
      <c r="A13" t="s">
        <v>236</v>
      </c>
      <c r="B13">
        <v>94429362</v>
      </c>
      <c r="C13" t="s">
        <v>135</v>
      </c>
      <c r="D13" t="s">
        <v>58</v>
      </c>
      <c r="E13">
        <v>0.1</v>
      </c>
      <c r="F13" t="s">
        <v>237</v>
      </c>
      <c r="G13" t="s">
        <v>227</v>
      </c>
      <c r="H13" t="s">
        <v>238</v>
      </c>
      <c r="I13" t="s">
        <v>239</v>
      </c>
      <c r="J13" t="s">
        <v>240</v>
      </c>
      <c r="K13">
        <v>-0.5</v>
      </c>
      <c r="L13">
        <v>0</v>
      </c>
      <c r="M13">
        <v>-31.8</v>
      </c>
    </row>
    <row r="14" spans="1:15" x14ac:dyDescent="0.35">
      <c r="A14" t="s">
        <v>241</v>
      </c>
      <c r="B14">
        <v>94440750</v>
      </c>
      <c r="C14" t="s">
        <v>135</v>
      </c>
      <c r="D14" t="s">
        <v>201</v>
      </c>
      <c r="E14">
        <v>0.05</v>
      </c>
      <c r="F14" t="s">
        <v>242</v>
      </c>
      <c r="G14" t="s">
        <v>243</v>
      </c>
      <c r="H14" t="s">
        <v>244</v>
      </c>
      <c r="I14" t="s">
        <v>245</v>
      </c>
      <c r="J14" t="s">
        <v>246</v>
      </c>
      <c r="K14">
        <v>-0.26</v>
      </c>
      <c r="L14">
        <v>0</v>
      </c>
      <c r="M14">
        <v>-45.1</v>
      </c>
    </row>
    <row r="15" spans="1:15" x14ac:dyDescent="0.35">
      <c r="A15" t="s">
        <v>247</v>
      </c>
      <c r="B15">
        <v>94440970</v>
      </c>
      <c r="C15" t="s">
        <v>135</v>
      </c>
      <c r="D15" t="s">
        <v>201</v>
      </c>
      <c r="E15">
        <v>0.03</v>
      </c>
      <c r="F15" t="s">
        <v>248</v>
      </c>
      <c r="G15" t="s">
        <v>249</v>
      </c>
      <c r="H15" t="s">
        <v>250</v>
      </c>
      <c r="I15" t="s">
        <v>245</v>
      </c>
      <c r="J15" t="s">
        <v>246</v>
      </c>
      <c r="K15">
        <v>-0.16</v>
      </c>
      <c r="L15">
        <v>0</v>
      </c>
      <c r="M15">
        <v>-28.44</v>
      </c>
    </row>
    <row r="16" spans="1:15" x14ac:dyDescent="0.35">
      <c r="A16" s="76" t="s">
        <v>269</v>
      </c>
      <c r="B16" s="76">
        <v>94520601</v>
      </c>
      <c r="C16" s="76" t="s">
        <v>135</v>
      </c>
      <c r="D16" s="76" t="s">
        <v>201</v>
      </c>
      <c r="E16" s="9">
        <v>0.03</v>
      </c>
      <c r="F16" s="76">
        <v>4516.04</v>
      </c>
      <c r="G16" s="76">
        <v>4534.66</v>
      </c>
      <c r="H16" s="76">
        <v>4479.13</v>
      </c>
      <c r="I16" s="76" t="s">
        <v>270</v>
      </c>
      <c r="J16" s="76">
        <v>4478.25</v>
      </c>
      <c r="K16" s="76">
        <v>-0.16</v>
      </c>
      <c r="L16" s="76">
        <v>0</v>
      </c>
      <c r="M16" s="76">
        <v>113.37</v>
      </c>
      <c r="N16" s="86"/>
      <c r="O16" s="86"/>
    </row>
    <row r="17" spans="1:15" x14ac:dyDescent="0.35">
      <c r="A17" s="76" t="s">
        <v>271</v>
      </c>
      <c r="B17" s="76">
        <v>94767432</v>
      </c>
      <c r="C17" s="76" t="s">
        <v>56</v>
      </c>
      <c r="D17" s="76" t="s">
        <v>58</v>
      </c>
      <c r="E17" s="9">
        <v>2</v>
      </c>
      <c r="F17" s="76">
        <v>30367.006000000001</v>
      </c>
      <c r="G17" s="76">
        <v>30367.57</v>
      </c>
      <c r="H17" s="76">
        <v>30450.35</v>
      </c>
      <c r="I17" s="76" t="s">
        <v>272</v>
      </c>
      <c r="J17" s="76">
        <v>30441.03</v>
      </c>
      <c r="K17" s="76">
        <v>0</v>
      </c>
      <c r="L17" s="76">
        <v>0</v>
      </c>
      <c r="M17" s="76">
        <v>148.04</v>
      </c>
      <c r="N17" s="87"/>
      <c r="O17" s="87"/>
    </row>
    <row r="18" spans="1:15" x14ac:dyDescent="0.35">
      <c r="A18" s="76" t="s">
        <v>273</v>
      </c>
      <c r="B18" s="76">
        <v>94769850</v>
      </c>
      <c r="C18" s="76" t="s">
        <v>56</v>
      </c>
      <c r="D18" s="76" t="s">
        <v>58</v>
      </c>
      <c r="E18" s="9">
        <v>2</v>
      </c>
      <c r="F18" s="76">
        <v>30383.999</v>
      </c>
      <c r="G18" s="76">
        <v>30383.72</v>
      </c>
      <c r="H18" s="76">
        <v>30450.12</v>
      </c>
      <c r="I18" s="76" t="s">
        <v>272</v>
      </c>
      <c r="J18" s="76">
        <v>30441.03</v>
      </c>
      <c r="K18" s="76">
        <v>0</v>
      </c>
      <c r="L18" s="76">
        <v>0</v>
      </c>
      <c r="M18" s="76">
        <v>114.05</v>
      </c>
      <c r="N18" s="86"/>
      <c r="O18" s="86"/>
    </row>
    <row r="19" spans="1:15" x14ac:dyDescent="0.35">
      <c r="A19" s="76" t="s">
        <v>274</v>
      </c>
      <c r="B19" s="76">
        <v>94775406</v>
      </c>
      <c r="C19" s="76" t="s">
        <v>56</v>
      </c>
      <c r="D19" s="76" t="s">
        <v>58</v>
      </c>
      <c r="E19" s="9">
        <v>2</v>
      </c>
      <c r="F19" s="76">
        <v>30423.93</v>
      </c>
      <c r="G19" s="76">
        <v>30378.85</v>
      </c>
      <c r="H19" s="76">
        <v>30450.01</v>
      </c>
      <c r="I19" s="76" t="s">
        <v>272</v>
      </c>
      <c r="J19" s="76">
        <v>30441.03</v>
      </c>
      <c r="K19" s="76">
        <v>0</v>
      </c>
      <c r="L19" s="76">
        <v>0</v>
      </c>
      <c r="M19" s="76">
        <v>34.19</v>
      </c>
      <c r="N19" s="87"/>
      <c r="O19" s="87"/>
    </row>
    <row r="20" spans="1:15" x14ac:dyDescent="0.35">
      <c r="A20" s="76" t="s">
        <v>278</v>
      </c>
      <c r="B20" s="76">
        <v>94932059</v>
      </c>
      <c r="C20" s="76" t="s">
        <v>135</v>
      </c>
      <c r="D20" s="76" t="s">
        <v>58</v>
      </c>
      <c r="E20" s="9">
        <v>0.08</v>
      </c>
      <c r="F20" s="76">
        <v>4504</v>
      </c>
      <c r="G20" s="76">
        <v>4503.95</v>
      </c>
      <c r="H20" s="76">
        <v>4527.8999999999996</v>
      </c>
      <c r="I20" s="76" t="s">
        <v>279</v>
      </c>
      <c r="J20" s="76">
        <v>4503.9399999999996</v>
      </c>
      <c r="K20" s="76">
        <v>-0.4</v>
      </c>
      <c r="L20" s="76">
        <v>0</v>
      </c>
      <c r="M20" s="76">
        <v>-0.48</v>
      </c>
      <c r="N20" s="86"/>
      <c r="O20" s="86"/>
    </row>
    <row r="21" spans="1:15" x14ac:dyDescent="0.35">
      <c r="A21" s="76" t="s">
        <v>280</v>
      </c>
      <c r="B21" s="76">
        <v>94934822</v>
      </c>
      <c r="C21" s="76" t="s">
        <v>135</v>
      </c>
      <c r="D21" s="76" t="s">
        <v>58</v>
      </c>
      <c r="E21" s="9">
        <v>0.1</v>
      </c>
      <c r="F21" s="76">
        <v>4507.63</v>
      </c>
      <c r="G21" s="76">
        <v>4495.6400000000003</v>
      </c>
      <c r="H21" s="76">
        <v>4517.18</v>
      </c>
      <c r="I21" s="76" t="s">
        <v>281</v>
      </c>
      <c r="J21" s="76">
        <v>4506.24</v>
      </c>
      <c r="K21" s="76">
        <v>-0.5</v>
      </c>
      <c r="L21" s="76">
        <v>0</v>
      </c>
      <c r="M21" s="76">
        <v>-13.9</v>
      </c>
      <c r="N21" s="87"/>
      <c r="O21" s="87"/>
    </row>
    <row r="22" spans="1:15" x14ac:dyDescent="0.35">
      <c r="A22" s="76" t="s">
        <v>282</v>
      </c>
      <c r="B22" s="76">
        <v>94934742</v>
      </c>
      <c r="C22" s="76" t="s">
        <v>135</v>
      </c>
      <c r="D22" s="76" t="s">
        <v>58</v>
      </c>
      <c r="E22" s="9">
        <v>0.1</v>
      </c>
      <c r="F22" s="76">
        <v>4506.6000000000004</v>
      </c>
      <c r="G22" s="76">
        <v>4495.6400000000003</v>
      </c>
      <c r="H22" s="76">
        <v>4518.34</v>
      </c>
      <c r="I22" s="76" t="s">
        <v>281</v>
      </c>
      <c r="J22" s="76">
        <v>4506.24</v>
      </c>
      <c r="K22" s="76">
        <v>-0.5</v>
      </c>
      <c r="L22" s="76">
        <v>0</v>
      </c>
      <c r="M22" s="76">
        <v>-3.6</v>
      </c>
      <c r="N22" s="86"/>
      <c r="O22" s="86"/>
    </row>
    <row r="23" spans="1:15" x14ac:dyDescent="0.35">
      <c r="A23" s="76" t="s">
        <v>283</v>
      </c>
      <c r="B23" s="76">
        <v>94935743</v>
      </c>
      <c r="C23" s="76" t="s">
        <v>135</v>
      </c>
      <c r="D23" s="76" t="s">
        <v>58</v>
      </c>
      <c r="E23" s="9">
        <v>0.1</v>
      </c>
      <c r="F23" s="76">
        <v>4500.79</v>
      </c>
      <c r="G23" s="76">
        <v>4495.68</v>
      </c>
      <c r="H23" s="76"/>
      <c r="I23" s="76" t="s">
        <v>281</v>
      </c>
      <c r="J23" s="76">
        <v>4506.24</v>
      </c>
      <c r="K23" s="76">
        <v>-0.5</v>
      </c>
      <c r="L23" s="76">
        <v>0</v>
      </c>
      <c r="M23" s="76">
        <v>54.5</v>
      </c>
      <c r="N23" s="87"/>
      <c r="O23" s="87"/>
    </row>
    <row r="24" spans="1:15" x14ac:dyDescent="0.35">
      <c r="A24" s="76" t="s">
        <v>284</v>
      </c>
      <c r="B24" s="76">
        <v>94936469</v>
      </c>
      <c r="C24" s="76" t="s">
        <v>135</v>
      </c>
      <c r="D24" s="76" t="s">
        <v>58</v>
      </c>
      <c r="E24" s="9">
        <v>0.1</v>
      </c>
      <c r="F24" s="76">
        <v>4502.1000000000004</v>
      </c>
      <c r="G24" s="76"/>
      <c r="H24" s="76"/>
      <c r="I24" s="76" t="s">
        <v>281</v>
      </c>
      <c r="J24" s="76">
        <v>4506.24</v>
      </c>
      <c r="K24" s="76">
        <v>-0.5</v>
      </c>
      <c r="L24" s="76">
        <v>0</v>
      </c>
      <c r="M24" s="76">
        <v>41.4</v>
      </c>
      <c r="N24" s="86"/>
      <c r="O24" s="86"/>
    </row>
    <row r="25" spans="1:15" x14ac:dyDescent="0.35">
      <c r="A25" s="76" t="s">
        <v>285</v>
      </c>
      <c r="B25" s="76">
        <v>95008780</v>
      </c>
      <c r="C25" s="76" t="s">
        <v>135</v>
      </c>
      <c r="D25" s="76" t="s">
        <v>58</v>
      </c>
      <c r="E25" s="9">
        <v>0.03</v>
      </c>
      <c r="F25" s="76">
        <v>4485.76</v>
      </c>
      <c r="G25" s="76">
        <v>4468.84</v>
      </c>
      <c r="H25" s="76">
        <v>4520.7299999999996</v>
      </c>
      <c r="I25" s="76" t="s">
        <v>286</v>
      </c>
      <c r="J25" s="76">
        <v>4468.88</v>
      </c>
      <c r="K25" s="76">
        <v>-0.16</v>
      </c>
      <c r="L25" s="76">
        <v>0</v>
      </c>
      <c r="M25" s="76">
        <v>-50.64</v>
      </c>
      <c r="N25" s="87"/>
      <c r="O25" s="87"/>
    </row>
    <row r="26" spans="1:15" x14ac:dyDescent="0.35">
      <c r="A26" s="76" t="s">
        <v>287</v>
      </c>
      <c r="B26" s="76">
        <v>95010950</v>
      </c>
      <c r="C26" s="76" t="s">
        <v>56</v>
      </c>
      <c r="D26" s="76" t="s">
        <v>58</v>
      </c>
      <c r="E26" s="9">
        <v>0.8</v>
      </c>
      <c r="F26" s="76">
        <v>30697.9</v>
      </c>
      <c r="G26" s="76">
        <v>30633.040000000001</v>
      </c>
      <c r="H26" s="76">
        <v>30824.33</v>
      </c>
      <c r="I26" s="76" t="s">
        <v>288</v>
      </c>
      <c r="J26" s="76">
        <v>30681.77</v>
      </c>
      <c r="K26" s="76">
        <v>0</v>
      </c>
      <c r="L26" s="76">
        <v>0</v>
      </c>
      <c r="M26" s="76">
        <v>-12.9</v>
      </c>
      <c r="N26" s="86"/>
      <c r="O26" s="86"/>
    </row>
    <row r="27" spans="1:15" x14ac:dyDescent="0.35">
      <c r="A27" s="76" t="s">
        <v>289</v>
      </c>
      <c r="B27" s="76">
        <v>95035877</v>
      </c>
      <c r="C27" s="76" t="s">
        <v>56</v>
      </c>
      <c r="D27" s="76" t="s">
        <v>58</v>
      </c>
      <c r="E27" s="9">
        <v>1</v>
      </c>
      <c r="F27" s="76">
        <v>30720.738000000001</v>
      </c>
      <c r="G27" s="76">
        <v>30660.9</v>
      </c>
      <c r="H27" s="76">
        <v>30822.799999999999</v>
      </c>
      <c r="I27" s="76" t="s">
        <v>288</v>
      </c>
      <c r="J27" s="76">
        <v>30682.02</v>
      </c>
      <c r="K27" s="76">
        <v>0</v>
      </c>
      <c r="L27" s="76">
        <v>0</v>
      </c>
      <c r="M27" s="76">
        <v>-38.72</v>
      </c>
      <c r="N27" s="87"/>
      <c r="O27" s="87"/>
    </row>
    <row r="28" spans="1:15" x14ac:dyDescent="0.35">
      <c r="A28" s="76" t="s">
        <v>290</v>
      </c>
      <c r="B28" s="76">
        <v>95116943</v>
      </c>
      <c r="C28" s="76" t="s">
        <v>135</v>
      </c>
      <c r="D28" s="76" t="s">
        <v>201</v>
      </c>
      <c r="E28" s="9">
        <v>0.04</v>
      </c>
      <c r="F28" s="76">
        <v>4454.46</v>
      </c>
      <c r="G28" s="76">
        <v>4465.66</v>
      </c>
      <c r="H28" s="76">
        <v>4430.43</v>
      </c>
      <c r="I28" s="76" t="s">
        <v>291</v>
      </c>
      <c r="J28" s="76">
        <v>4430.59</v>
      </c>
      <c r="K28" s="76">
        <v>-0.2</v>
      </c>
      <c r="L28" s="76">
        <v>0</v>
      </c>
      <c r="M28" s="76">
        <v>95.48</v>
      </c>
      <c r="N28" s="86"/>
      <c r="O28" s="86"/>
    </row>
    <row r="29" spans="1:15" x14ac:dyDescent="0.35">
      <c r="A29" s="76" t="s">
        <v>292</v>
      </c>
      <c r="B29" s="76">
        <v>95248849</v>
      </c>
      <c r="C29" s="76" t="s">
        <v>135</v>
      </c>
      <c r="D29" s="76" t="s">
        <v>58</v>
      </c>
      <c r="E29" s="9">
        <v>0.06</v>
      </c>
      <c r="F29" s="76">
        <v>4475.84</v>
      </c>
      <c r="G29" s="76">
        <v>4455.49</v>
      </c>
      <c r="H29" s="76">
        <v>4509.53</v>
      </c>
      <c r="I29" s="76" t="s">
        <v>293</v>
      </c>
      <c r="J29" s="76">
        <v>4459.78</v>
      </c>
      <c r="K29" s="76">
        <v>-0.3</v>
      </c>
      <c r="L29" s="76">
        <v>0</v>
      </c>
      <c r="M29" s="76">
        <v>-96.36</v>
      </c>
      <c r="N29" s="87"/>
      <c r="O29" s="87"/>
    </row>
    <row r="30" spans="1:15" x14ac:dyDescent="0.35">
      <c r="A30" s="76" t="s">
        <v>294</v>
      </c>
      <c r="B30" s="76">
        <v>95247215</v>
      </c>
      <c r="C30" s="76" t="s">
        <v>56</v>
      </c>
      <c r="D30" s="76" t="s">
        <v>58</v>
      </c>
      <c r="E30" s="9">
        <v>0.3</v>
      </c>
      <c r="F30" s="76">
        <v>30506.263999999999</v>
      </c>
      <c r="G30" s="76">
        <v>30270.66</v>
      </c>
      <c r="H30" s="76">
        <v>30840.86</v>
      </c>
      <c r="I30" s="76" t="s">
        <v>295</v>
      </c>
      <c r="J30" s="76">
        <v>30397.14</v>
      </c>
      <c r="K30" s="76">
        <v>0</v>
      </c>
      <c r="L30" s="76">
        <v>0</v>
      </c>
      <c r="M30" s="76">
        <v>-32.74</v>
      </c>
      <c r="N30" s="86"/>
      <c r="O30" s="86"/>
    </row>
    <row r="31" spans="1:15" x14ac:dyDescent="0.35">
      <c r="A31" s="76" t="s">
        <v>296</v>
      </c>
      <c r="B31" s="76">
        <v>95246531</v>
      </c>
      <c r="C31" s="76" t="s">
        <v>135</v>
      </c>
      <c r="D31" s="76" t="s">
        <v>58</v>
      </c>
      <c r="E31" s="9">
        <v>0.06</v>
      </c>
      <c r="F31" s="76">
        <v>4465.82</v>
      </c>
      <c r="G31" s="76">
        <v>4452.4399999999996</v>
      </c>
      <c r="H31" s="76">
        <v>4500.07</v>
      </c>
      <c r="I31" s="76" t="s">
        <v>293</v>
      </c>
      <c r="J31" s="76">
        <v>4459.78</v>
      </c>
      <c r="K31" s="76">
        <v>-0.3</v>
      </c>
      <c r="L31" s="76">
        <v>0</v>
      </c>
      <c r="M31" s="76">
        <v>-36.24</v>
      </c>
      <c r="N31" s="87"/>
      <c r="O31" s="87"/>
    </row>
    <row r="32" spans="1:15" x14ac:dyDescent="0.35">
      <c r="A32" s="76" t="s">
        <v>297</v>
      </c>
      <c r="B32" s="76">
        <v>95287835</v>
      </c>
      <c r="C32" s="76" t="s">
        <v>135</v>
      </c>
      <c r="D32" s="76" t="s">
        <v>58</v>
      </c>
      <c r="E32" s="9">
        <v>0.06</v>
      </c>
      <c r="F32" s="76">
        <v>4464.32</v>
      </c>
      <c r="G32" s="76">
        <v>4452.42</v>
      </c>
      <c r="H32" s="76">
        <v>4500.2299999999996</v>
      </c>
      <c r="I32" s="76" t="s">
        <v>298</v>
      </c>
      <c r="J32" s="76">
        <v>4497.6499999999996</v>
      </c>
      <c r="K32" s="76">
        <v>-0.3</v>
      </c>
      <c r="L32" s="76">
        <v>0</v>
      </c>
      <c r="M32" s="76">
        <v>199.98</v>
      </c>
      <c r="N32" s="86"/>
      <c r="O32" s="86"/>
    </row>
    <row r="33" spans="1:15" x14ac:dyDescent="0.35">
      <c r="A33" s="76" t="s">
        <v>299</v>
      </c>
      <c r="B33" s="76">
        <v>95287843</v>
      </c>
      <c r="C33" s="76" t="s">
        <v>135</v>
      </c>
      <c r="D33" s="76" t="s">
        <v>58</v>
      </c>
      <c r="E33" s="9">
        <v>0.06</v>
      </c>
      <c r="F33" s="76">
        <v>4464.28</v>
      </c>
      <c r="G33" s="76">
        <v>4452.3</v>
      </c>
      <c r="H33" s="76">
        <v>4500.6499999999996</v>
      </c>
      <c r="I33" s="76" t="s">
        <v>298</v>
      </c>
      <c r="J33" s="76">
        <v>4497.6499999999996</v>
      </c>
      <c r="K33" s="76">
        <v>-0.3</v>
      </c>
      <c r="L33" s="76">
        <v>0</v>
      </c>
      <c r="M33" s="76">
        <v>200.22</v>
      </c>
      <c r="N33" s="87"/>
      <c r="O33" s="8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I139"/>
  <sheetViews>
    <sheetView topLeftCell="D1" zoomScale="85" zoomScaleNormal="85" workbookViewId="0">
      <pane ySplit="1" topLeftCell="A2" activePane="bottomLeft" state="frozen"/>
      <selection activeCell="D1" sqref="D1"/>
      <selection pane="bottomLeft" activeCell="D15" sqref="D15"/>
    </sheetView>
  </sheetViews>
  <sheetFormatPr defaultRowHeight="14.5" x14ac:dyDescent="0.35"/>
  <cols>
    <col min="1" max="1" width="10.54296875" style="69" bestFit="1" customWidth="1"/>
    <col min="2" max="2" width="11.7265625" customWidth="1"/>
    <col min="3" max="3" width="15.26953125" style="1" customWidth="1"/>
    <col min="4" max="4" width="16.54296875" style="1" customWidth="1"/>
    <col min="6" max="6" width="11.7265625" bestFit="1" customWidth="1"/>
    <col min="7" max="7" width="16" style="4" customWidth="1"/>
    <col min="8" max="8" width="12.7265625" style="4" customWidth="1"/>
    <col min="9" max="9" width="13.7265625" style="4" customWidth="1"/>
    <col min="10" max="10" width="12.7265625" customWidth="1"/>
    <col min="11" max="11" width="12.1796875" style="4" customWidth="1"/>
    <col min="12" max="12" width="16.26953125" customWidth="1"/>
    <col min="14" max="14" width="10.26953125" bestFit="1" customWidth="1"/>
    <col min="15" max="15" width="26" customWidth="1"/>
    <col min="17" max="17" width="10.54296875" bestFit="1" customWidth="1"/>
    <col min="18" max="35" width="8.7265625" customWidth="1"/>
  </cols>
  <sheetData>
    <row r="1" spans="1:35" x14ac:dyDescent="0.35">
      <c r="A1" s="69" t="s">
        <v>258</v>
      </c>
      <c r="B1" s="2" t="s">
        <v>0</v>
      </c>
      <c r="C1" s="51" t="s">
        <v>1</v>
      </c>
      <c r="D1" s="51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17" t="s">
        <v>7</v>
      </c>
      <c r="J1" s="16" t="s">
        <v>8</v>
      </c>
      <c r="K1" s="3" t="s">
        <v>9</v>
      </c>
      <c r="L1" s="16" t="s">
        <v>10</v>
      </c>
      <c r="M1" s="16" t="s">
        <v>59</v>
      </c>
      <c r="N1" s="16" t="s">
        <v>11</v>
      </c>
      <c r="O1" s="2" t="s">
        <v>12</v>
      </c>
      <c r="P1" s="6" t="s">
        <v>37</v>
      </c>
      <c r="Q1" s="6" t="s">
        <v>14</v>
      </c>
      <c r="R1" s="5" t="s">
        <v>15</v>
      </c>
      <c r="S1" s="6" t="s">
        <v>16</v>
      </c>
      <c r="T1" s="5" t="s">
        <v>17</v>
      </c>
      <c r="U1" s="6" t="s">
        <v>18</v>
      </c>
      <c r="V1" s="5" t="s">
        <v>19</v>
      </c>
      <c r="W1" s="6" t="s">
        <v>20</v>
      </c>
      <c r="X1" s="5" t="s">
        <v>21</v>
      </c>
      <c r="Y1" s="6" t="s">
        <v>22</v>
      </c>
      <c r="Z1" s="5" t="s">
        <v>23</v>
      </c>
      <c r="AA1" s="6" t="s">
        <v>24</v>
      </c>
      <c r="AB1" s="5" t="s">
        <v>25</v>
      </c>
      <c r="AC1" s="6" t="s">
        <v>26</v>
      </c>
      <c r="AD1" s="5" t="s">
        <v>27</v>
      </c>
      <c r="AE1" s="6" t="s">
        <v>28</v>
      </c>
      <c r="AF1" s="5" t="s">
        <v>29</v>
      </c>
      <c r="AG1" s="6" t="s">
        <v>30</v>
      </c>
      <c r="AH1" s="5" t="s">
        <v>31</v>
      </c>
      <c r="AI1" s="6" t="s">
        <v>32</v>
      </c>
    </row>
    <row r="2" spans="1:35" x14ac:dyDescent="0.35">
      <c r="B2">
        <f>Raw!B2</f>
        <v>94394852</v>
      </c>
      <c r="C2" s="1" t="str">
        <f>Raw!A2</f>
        <v>2026.05.29 15:12:07</v>
      </c>
      <c r="D2" s="1" t="str">
        <f>Raw!I2</f>
        <v>2026.05.29 15:57:04</v>
      </c>
      <c r="E2" t="str">
        <f>Raw!D2</f>
        <v>buy</v>
      </c>
      <c r="F2" t="str">
        <f>Raw!C2</f>
        <v>NAS100.raw</v>
      </c>
      <c r="G2" s="4" t="str">
        <f>Raw!F2</f>
        <v>30 294.15</v>
      </c>
      <c r="I2" s="4">
        <f>P2+K2</f>
        <v>8.99</v>
      </c>
      <c r="J2">
        <f>Raw!E2</f>
        <v>0.5</v>
      </c>
      <c r="K2" s="4">
        <f>Raw!K2</f>
        <v>0</v>
      </c>
      <c r="L2" s="66">
        <f>I2/10000</f>
        <v>8.9900000000000006E-4</v>
      </c>
      <c r="M2" t="str">
        <f>IF(I2&gt;0,"1","0")</f>
        <v>1</v>
      </c>
      <c r="N2">
        <f>COUNT(Raw!M2)</f>
        <v>1</v>
      </c>
      <c r="O2" t="str">
        <f>Raw!A2</f>
        <v>2026.05.29 15:12:07</v>
      </c>
      <c r="P2" s="4">
        <f>Raw!M2+Raw!K2</f>
        <v>8.99</v>
      </c>
      <c r="Q2" s="69" t="str">
        <f t="shared" ref="Q2:Q15" si="0">LEFT(C2,10)</f>
        <v>2026.05.29</v>
      </c>
    </row>
    <row r="3" spans="1:35" x14ac:dyDescent="0.35">
      <c r="B3" s="69">
        <f>Raw!B3</f>
        <v>94395618</v>
      </c>
      <c r="C3" s="1" t="str">
        <f>Raw!A3</f>
        <v>2026.05.29 15:17:36</v>
      </c>
      <c r="D3" s="1" t="str">
        <f>Raw!I3</f>
        <v>2026.05.29 15:57:04</v>
      </c>
      <c r="E3" s="69" t="str">
        <f>Raw!D3</f>
        <v>buy</v>
      </c>
      <c r="F3" s="69" t="str">
        <f>Raw!C3</f>
        <v>NAS100.raw</v>
      </c>
      <c r="G3" s="4" t="str">
        <f>Raw!F3</f>
        <v>30 289.34</v>
      </c>
      <c r="I3" s="4">
        <f>P3+K3</f>
        <v>22.8</v>
      </c>
      <c r="J3" s="69">
        <f>Raw!E3</f>
        <v>1</v>
      </c>
      <c r="K3" s="4">
        <f>Raw!K3</f>
        <v>0</v>
      </c>
      <c r="L3" s="66">
        <f t="shared" ref="L3:L15" si="1">I3/10000</f>
        <v>2.2799999999999999E-3</v>
      </c>
      <c r="M3" s="69" t="str">
        <f t="shared" ref="M3:M15" si="2">IF(I3&gt;0,"1","0")</f>
        <v>1</v>
      </c>
      <c r="N3" s="69">
        <f>COUNT(Raw!M3)</f>
        <v>1</v>
      </c>
      <c r="O3" s="69" t="str">
        <f>Raw!A3</f>
        <v>2026.05.29 15:17:36</v>
      </c>
      <c r="P3" s="4">
        <f>Raw!M3+Raw!K3</f>
        <v>22.8</v>
      </c>
      <c r="Q3" s="69" t="str">
        <f t="shared" si="0"/>
        <v>2026.05.29</v>
      </c>
    </row>
    <row r="4" spans="1:35" x14ac:dyDescent="0.35">
      <c r="B4" s="69">
        <f>Raw!B4</f>
        <v>94395131</v>
      </c>
      <c r="C4" s="1" t="str">
        <f>Raw!A4</f>
        <v>2026.05.29 15:33:34</v>
      </c>
      <c r="D4" s="1" t="str">
        <f>Raw!I4</f>
        <v>2026.05.29 15:57:04</v>
      </c>
      <c r="E4" s="69" t="str">
        <f>Raw!D4</f>
        <v>buy</v>
      </c>
      <c r="F4" s="69" t="str">
        <f>Raw!C4</f>
        <v>NAS100.raw</v>
      </c>
      <c r="G4" s="4" t="str">
        <f>Raw!F4</f>
        <v>30 265.55</v>
      </c>
      <c r="I4" s="4">
        <f>P4+K4</f>
        <v>23.29</v>
      </c>
      <c r="J4" s="69">
        <f>Raw!E4</f>
        <v>0.5</v>
      </c>
      <c r="K4" s="4">
        <f>Raw!K4</f>
        <v>0</v>
      </c>
      <c r="L4" s="66">
        <f t="shared" si="1"/>
        <v>2.3289999999999999E-3</v>
      </c>
      <c r="M4" s="69" t="str">
        <f t="shared" si="2"/>
        <v>1</v>
      </c>
      <c r="N4" s="69">
        <f>COUNT(Raw!M4)</f>
        <v>1</v>
      </c>
      <c r="O4" s="69" t="str">
        <f>Raw!A4</f>
        <v>2026.05.29 15:33:34</v>
      </c>
      <c r="P4" s="4">
        <f>Raw!M4+Raw!K4</f>
        <v>23.29</v>
      </c>
      <c r="Q4" s="69" t="str">
        <f t="shared" si="0"/>
        <v>2026.05.29</v>
      </c>
    </row>
    <row r="5" spans="1:35" x14ac:dyDescent="0.35">
      <c r="B5" s="69">
        <f>Raw!B5</f>
        <v>94398668</v>
      </c>
      <c r="C5" s="1" t="str">
        <f>Raw!A5</f>
        <v>2026.05.29 15:33:34</v>
      </c>
      <c r="D5" s="1" t="str">
        <f>Raw!I5</f>
        <v>2026.05.29 15:57:04</v>
      </c>
      <c r="E5" s="69" t="str">
        <f>Raw!D5</f>
        <v>buy</v>
      </c>
      <c r="F5" s="69" t="str">
        <f>Raw!C5</f>
        <v>NAS100.raw</v>
      </c>
      <c r="G5" s="4" t="str">
        <f>Raw!F5</f>
        <v>30 265.55</v>
      </c>
      <c r="I5" s="4">
        <f t="shared" ref="I5:I14" si="3">P5+K5</f>
        <v>46.58</v>
      </c>
      <c r="J5" s="69">
        <f>Raw!E5</f>
        <v>1</v>
      </c>
      <c r="K5" s="4">
        <f>Raw!K5</f>
        <v>0</v>
      </c>
      <c r="L5" s="66">
        <f t="shared" si="1"/>
        <v>4.6579999999999998E-3</v>
      </c>
      <c r="M5" s="69" t="str">
        <f t="shared" si="2"/>
        <v>1</v>
      </c>
      <c r="N5" s="69">
        <f>COUNT(Raw!M5)</f>
        <v>1</v>
      </c>
      <c r="O5" s="69" t="str">
        <f>Raw!A5</f>
        <v>2026.05.29 15:33:34</v>
      </c>
      <c r="P5" s="4">
        <f>Raw!M5+Raw!K5</f>
        <v>46.58</v>
      </c>
      <c r="Q5" s="69" t="str">
        <f t="shared" si="0"/>
        <v>2026.05.29</v>
      </c>
    </row>
    <row r="6" spans="1:35" x14ac:dyDescent="0.35">
      <c r="B6" s="69">
        <f>Raw!B6</f>
        <v>94414127</v>
      </c>
      <c r="C6" s="1" t="str">
        <f>Raw!A6</f>
        <v>2026.05.29 16:35:51</v>
      </c>
      <c r="D6" s="1" t="str">
        <f>Raw!I6</f>
        <v>2026.05.29 17:01:59</v>
      </c>
      <c r="E6" s="69" t="str">
        <f>Raw!D6</f>
        <v>sell</v>
      </c>
      <c r="F6" s="69" t="str">
        <f>Raw!C6</f>
        <v>XAUUSD.raw</v>
      </c>
      <c r="G6" s="4" t="str">
        <f>Raw!F6</f>
        <v>4 522.82</v>
      </c>
      <c r="I6" s="4">
        <f>P6+K6</f>
        <v>-92.68</v>
      </c>
      <c r="J6" s="69">
        <f>Raw!E6</f>
        <v>0.04</v>
      </c>
      <c r="K6" s="4">
        <f>Raw!K6</f>
        <v>-0.2</v>
      </c>
      <c r="L6" s="66">
        <f t="shared" si="1"/>
        <v>-9.2680000000000002E-3</v>
      </c>
      <c r="M6" s="69" t="str">
        <f t="shared" si="2"/>
        <v>0</v>
      </c>
      <c r="N6" s="69">
        <f>COUNT(Raw!M6)</f>
        <v>1</v>
      </c>
      <c r="O6" s="69" t="str">
        <f>Raw!A6</f>
        <v>2026.05.29 16:35:51</v>
      </c>
      <c r="P6" s="4">
        <f>Raw!M6+Raw!K6</f>
        <v>-92.48</v>
      </c>
      <c r="Q6" s="69" t="str">
        <f t="shared" si="0"/>
        <v>2026.05.29</v>
      </c>
    </row>
    <row r="7" spans="1:35" x14ac:dyDescent="0.35">
      <c r="B7" s="69">
        <f>Raw!B7</f>
        <v>94414305</v>
      </c>
      <c r="C7" s="1" t="str">
        <f>Raw!A7</f>
        <v>2026.05.29 16:37:48</v>
      </c>
      <c r="D7" s="1" t="str">
        <f>Raw!I7</f>
        <v>2026.05.29 17:01:59</v>
      </c>
      <c r="E7" s="69" t="str">
        <f>Raw!D7</f>
        <v>sell</v>
      </c>
      <c r="F7" s="69" t="str">
        <f>Raw!C7</f>
        <v>XAUUSD.raw</v>
      </c>
      <c r="G7" s="4" t="str">
        <f>Raw!F7</f>
        <v>4 526.91</v>
      </c>
      <c r="I7" s="4">
        <f t="shared" si="3"/>
        <v>-75.84</v>
      </c>
      <c r="J7" s="69">
        <f>Raw!E7</f>
        <v>0.04</v>
      </c>
      <c r="K7" s="4">
        <f>Raw!K7</f>
        <v>-0.2</v>
      </c>
      <c r="L7" s="66">
        <f t="shared" si="1"/>
        <v>-7.5840000000000005E-3</v>
      </c>
      <c r="M7" s="69" t="str">
        <f t="shared" si="2"/>
        <v>0</v>
      </c>
      <c r="N7" s="69">
        <f>COUNT(Raw!M7)</f>
        <v>1</v>
      </c>
      <c r="O7" s="69" t="str">
        <f>Raw!A7</f>
        <v>2026.05.29 16:37:48</v>
      </c>
      <c r="P7" s="4">
        <f>Raw!M7+Raw!K7</f>
        <v>-75.64</v>
      </c>
      <c r="Q7" s="69" t="str">
        <f t="shared" si="0"/>
        <v>2026.05.29</v>
      </c>
    </row>
    <row r="8" spans="1:35" x14ac:dyDescent="0.35">
      <c r="B8" s="69">
        <f>Raw!B8</f>
        <v>94415166</v>
      </c>
      <c r="C8" s="1" t="str">
        <f>Raw!A8</f>
        <v>2026.05.29 16:38:59</v>
      </c>
      <c r="D8" s="1" t="str">
        <f>Raw!I8</f>
        <v>2026.05.29 17:01:59</v>
      </c>
      <c r="E8" s="69" t="str">
        <f>Raw!D8</f>
        <v>sell</v>
      </c>
      <c r="F8" s="69" t="str">
        <f>Raw!C8</f>
        <v>XAUUSD.raw</v>
      </c>
      <c r="G8" s="4" t="str">
        <f>Raw!F8</f>
        <v>4 533.02</v>
      </c>
      <c r="I8" s="4">
        <f t="shared" si="3"/>
        <v>-51.920000000000009</v>
      </c>
      <c r="J8" s="69">
        <f>Raw!E8</f>
        <v>0.04</v>
      </c>
      <c r="K8" s="4">
        <f>Raw!K8</f>
        <v>-0.2</v>
      </c>
      <c r="L8" s="66">
        <f t="shared" si="1"/>
        <v>-5.1920000000000013E-3</v>
      </c>
      <c r="M8" s="69" t="str">
        <f t="shared" si="2"/>
        <v>0</v>
      </c>
      <c r="N8" s="69">
        <f>COUNT(Raw!M8)</f>
        <v>1</v>
      </c>
      <c r="O8" s="69" t="str">
        <f>Raw!A8</f>
        <v>2026.05.29 16:38:59</v>
      </c>
      <c r="P8" s="4">
        <f>Raw!M8+Raw!K8</f>
        <v>-51.720000000000006</v>
      </c>
      <c r="Q8" s="69" t="str">
        <f t="shared" si="0"/>
        <v>2026.05.29</v>
      </c>
    </row>
    <row r="9" spans="1:35" x14ac:dyDescent="0.35">
      <c r="B9" s="69">
        <f>Raw!B9</f>
        <v>94416348</v>
      </c>
      <c r="C9" s="1" t="str">
        <f>Raw!A9</f>
        <v>2026.05.29 16:53:50</v>
      </c>
      <c r="D9" s="1" t="str">
        <f>Raw!I9</f>
        <v>2026.05.29 17:01:59</v>
      </c>
      <c r="E9" s="69" t="str">
        <f>Raw!D9</f>
        <v>sell</v>
      </c>
      <c r="F9" s="69" t="str">
        <f>Raw!C9</f>
        <v>XAUUSD.raw</v>
      </c>
      <c r="G9" s="4" t="str">
        <f>Raw!F9</f>
        <v>4 537.84</v>
      </c>
      <c r="I9" s="4">
        <f t="shared" si="3"/>
        <v>-32.600000000000009</v>
      </c>
      <c r="J9" s="69">
        <f>Raw!E9</f>
        <v>0.04</v>
      </c>
      <c r="K9" s="4">
        <f>Raw!K9</f>
        <v>-0.2</v>
      </c>
      <c r="L9" s="66">
        <f t="shared" si="1"/>
        <v>-3.2600000000000007E-3</v>
      </c>
      <c r="M9" s="69" t="str">
        <f t="shared" si="2"/>
        <v>0</v>
      </c>
      <c r="N9" s="69">
        <f>COUNT(Raw!M9)</f>
        <v>1</v>
      </c>
      <c r="O9" s="69" t="str">
        <f>Raw!A9</f>
        <v>2026.05.29 16:53:50</v>
      </c>
      <c r="P9" s="4">
        <f>Raw!M9+Raw!K9</f>
        <v>-32.400000000000006</v>
      </c>
      <c r="Q9" s="69" t="str">
        <f t="shared" si="0"/>
        <v>2026.05.29</v>
      </c>
    </row>
    <row r="10" spans="1:35" x14ac:dyDescent="0.35">
      <c r="B10" s="69">
        <f>Raw!B10</f>
        <v>94422856</v>
      </c>
      <c r="C10" s="1" t="str">
        <f>Raw!A10</f>
        <v>2026.05.29 17:00:36</v>
      </c>
      <c r="D10" s="1" t="str">
        <f>Raw!I10</f>
        <v>2026.05.29 17:02:01</v>
      </c>
      <c r="E10" s="69" t="str">
        <f>Raw!D10</f>
        <v>sell</v>
      </c>
      <c r="F10" s="69" t="str">
        <f>Raw!C10</f>
        <v>XAUUSD.raw</v>
      </c>
      <c r="G10" s="4" t="str">
        <f>Raw!F10</f>
        <v>4 537.54</v>
      </c>
      <c r="I10" s="4">
        <f t="shared" si="3"/>
        <v>-89.8</v>
      </c>
      <c r="J10" s="69">
        <f>Raw!E10</f>
        <v>0.1</v>
      </c>
      <c r="K10" s="4">
        <f>Raw!K10</f>
        <v>-0.5</v>
      </c>
      <c r="L10" s="66">
        <f t="shared" si="1"/>
        <v>-8.9800000000000001E-3</v>
      </c>
      <c r="M10" s="69" t="str">
        <f t="shared" si="2"/>
        <v>0</v>
      </c>
      <c r="N10" s="69">
        <f>COUNT(Raw!M10)</f>
        <v>1</v>
      </c>
      <c r="O10" s="69" t="str">
        <f>Raw!A10</f>
        <v>2026.05.29 17:00:36</v>
      </c>
      <c r="P10" s="4">
        <f>Raw!M10+Raw!K10</f>
        <v>-89.3</v>
      </c>
      <c r="Q10" s="69" t="str">
        <f t="shared" si="0"/>
        <v>2026.05.29</v>
      </c>
    </row>
    <row r="11" spans="1:35" x14ac:dyDescent="0.35">
      <c r="B11" s="69">
        <f>Raw!B11</f>
        <v>94429022</v>
      </c>
      <c r="C11" s="1" t="str">
        <f>Raw!A11</f>
        <v>2026.05.29 17:13:37</v>
      </c>
      <c r="D11" s="1" t="str">
        <f>Raw!I11</f>
        <v>2026.05.29 17:20:57</v>
      </c>
      <c r="E11" s="69" t="str">
        <f>Raw!D11</f>
        <v>buy</v>
      </c>
      <c r="F11" s="69" t="str">
        <f>Raw!C11</f>
        <v>XAUUSD.raw</v>
      </c>
      <c r="G11" s="4" t="str">
        <f>Raw!F11</f>
        <v>4 547.02</v>
      </c>
      <c r="I11" s="4">
        <f t="shared" si="3"/>
        <v>-83.5</v>
      </c>
      <c r="J11" s="69">
        <f>Raw!E11</f>
        <v>0.1</v>
      </c>
      <c r="K11" s="4">
        <f>Raw!K11</f>
        <v>-0.5</v>
      </c>
      <c r="L11" s="66">
        <f t="shared" si="1"/>
        <v>-8.3499999999999998E-3</v>
      </c>
      <c r="M11" s="69" t="str">
        <f t="shared" si="2"/>
        <v>0</v>
      </c>
      <c r="N11" s="69">
        <f>COUNT(Raw!M11)</f>
        <v>1</v>
      </c>
      <c r="O11" s="69" t="str">
        <f>Raw!A11</f>
        <v>2026.05.29 17:13:37</v>
      </c>
      <c r="P11" s="4">
        <f>Raw!M11+Raw!K11</f>
        <v>-83</v>
      </c>
      <c r="Q11" s="69" t="str">
        <f t="shared" si="0"/>
        <v>2026.05.29</v>
      </c>
    </row>
    <row r="12" spans="1:35" x14ac:dyDescent="0.35">
      <c r="B12" s="69">
        <f>Raw!B12</f>
        <v>94430627</v>
      </c>
      <c r="C12" s="1" t="str">
        <f>Raw!A12</f>
        <v>2026.05.29 17:17:56</v>
      </c>
      <c r="D12" s="1" t="str">
        <f>Raw!I12</f>
        <v>2026.05.29 17:21:48</v>
      </c>
      <c r="E12" s="69" t="str">
        <f>Raw!D12</f>
        <v>buy</v>
      </c>
      <c r="F12" s="69" t="str">
        <f>Raw!C12</f>
        <v>XAUUSD.raw</v>
      </c>
      <c r="G12" s="4" t="str">
        <f>Raw!F12</f>
        <v>4 542.91</v>
      </c>
      <c r="I12" s="4">
        <f t="shared" si="3"/>
        <v>-50.6</v>
      </c>
      <c r="J12" s="69">
        <f>Raw!E12</f>
        <v>0.1</v>
      </c>
      <c r="K12" s="4">
        <f>Raw!K12</f>
        <v>-0.5</v>
      </c>
      <c r="L12" s="66">
        <f t="shared" si="1"/>
        <v>-5.0600000000000003E-3</v>
      </c>
      <c r="M12" s="69" t="str">
        <f t="shared" si="2"/>
        <v>0</v>
      </c>
      <c r="N12" s="69">
        <f>COUNT(Raw!M12)</f>
        <v>1</v>
      </c>
      <c r="O12" s="69" t="str">
        <f>Raw!A12</f>
        <v>2026.05.29 17:17:56</v>
      </c>
      <c r="P12" s="4">
        <f>Raw!M12+Raw!K12</f>
        <v>-50.1</v>
      </c>
      <c r="Q12" s="69" t="str">
        <f t="shared" si="0"/>
        <v>2026.05.29</v>
      </c>
    </row>
    <row r="13" spans="1:35" x14ac:dyDescent="0.35">
      <c r="B13" s="69">
        <f>Raw!B13</f>
        <v>94429362</v>
      </c>
      <c r="C13" s="1" t="str">
        <f>Raw!A13</f>
        <v>2026.05.29 17:19:06</v>
      </c>
      <c r="D13" s="1" t="str">
        <f>Raw!I13</f>
        <v>2026.05.29 17:22:09</v>
      </c>
      <c r="E13" s="69" t="str">
        <f>Raw!D13</f>
        <v>buy</v>
      </c>
      <c r="F13" s="69" t="str">
        <f>Raw!C13</f>
        <v>XAUUSD.raw</v>
      </c>
      <c r="G13" s="4" t="str">
        <f>Raw!F13</f>
        <v>4 540.06</v>
      </c>
      <c r="I13" s="4">
        <f t="shared" si="3"/>
        <v>-32.799999999999997</v>
      </c>
      <c r="J13" s="69">
        <f>Raw!E13</f>
        <v>0.1</v>
      </c>
      <c r="K13" s="4">
        <f>Raw!K13</f>
        <v>-0.5</v>
      </c>
      <c r="L13" s="66">
        <f t="shared" si="1"/>
        <v>-3.2799999999999999E-3</v>
      </c>
      <c r="M13" s="69" t="str">
        <f t="shared" si="2"/>
        <v>0</v>
      </c>
      <c r="N13" s="69">
        <f>COUNT(Raw!M13)</f>
        <v>1</v>
      </c>
      <c r="O13" s="69" t="str">
        <f>Raw!A13</f>
        <v>2026.05.29 17:19:06</v>
      </c>
      <c r="P13" s="4">
        <f>Raw!M13+Raw!K13</f>
        <v>-32.299999999999997</v>
      </c>
      <c r="Q13" s="69" t="str">
        <f t="shared" si="0"/>
        <v>2026.05.29</v>
      </c>
    </row>
    <row r="14" spans="1:35" x14ac:dyDescent="0.35">
      <c r="B14" s="69">
        <f>Raw!B14</f>
        <v>94440750</v>
      </c>
      <c r="C14" s="1" t="str">
        <f>Raw!A14</f>
        <v>2026.05.29 17:45:01</v>
      </c>
      <c r="D14" s="1" t="str">
        <f>Raw!I14</f>
        <v>2026.05.29 17:52:07</v>
      </c>
      <c r="E14" s="69" t="str">
        <f>Raw!D14</f>
        <v>sell</v>
      </c>
      <c r="F14" s="69" t="str">
        <f>Raw!C14</f>
        <v>XAUUSD.raw</v>
      </c>
      <c r="G14" s="4" t="str">
        <f>Raw!F14</f>
        <v>4 540.08</v>
      </c>
      <c r="I14" s="4">
        <f t="shared" si="3"/>
        <v>-45.62</v>
      </c>
      <c r="J14" s="69">
        <f>Raw!E14</f>
        <v>0.05</v>
      </c>
      <c r="K14" s="4">
        <f>Raw!K14</f>
        <v>-0.26</v>
      </c>
      <c r="L14" s="66">
        <f t="shared" si="1"/>
        <v>-4.5620000000000001E-3</v>
      </c>
      <c r="M14" s="69" t="str">
        <f t="shared" si="2"/>
        <v>0</v>
      </c>
      <c r="N14" s="69">
        <f>COUNT(Raw!M14)</f>
        <v>1</v>
      </c>
      <c r="O14" s="69" t="str">
        <f>Raw!A14</f>
        <v>2026.05.29 17:45:01</v>
      </c>
      <c r="P14" s="4">
        <f>Raw!M14+Raw!K14</f>
        <v>-45.36</v>
      </c>
      <c r="Q14" s="69" t="str">
        <f t="shared" si="0"/>
        <v>2026.05.29</v>
      </c>
    </row>
    <row r="15" spans="1:35" x14ac:dyDescent="0.35">
      <c r="B15" s="69">
        <f>Raw!B15</f>
        <v>94440970</v>
      </c>
      <c r="C15" s="1" t="str">
        <f>Raw!A15</f>
        <v>2026.05.29 17:45:39</v>
      </c>
      <c r="D15" s="1" t="str">
        <f>Raw!I15</f>
        <v>2026.05.29 17:52:07</v>
      </c>
      <c r="E15" s="69" t="str">
        <f>Raw!D15</f>
        <v>sell</v>
      </c>
      <c r="F15" s="69" t="str">
        <f>Raw!C15</f>
        <v>XAUUSD.raw</v>
      </c>
      <c r="G15" s="4" t="str">
        <f>Raw!F15</f>
        <v>4 539.62</v>
      </c>
      <c r="I15" s="4">
        <f>P15+K15</f>
        <v>-28.76</v>
      </c>
      <c r="J15" s="69">
        <f>Raw!E15</f>
        <v>0.03</v>
      </c>
      <c r="K15" s="4">
        <f>Raw!K15</f>
        <v>-0.16</v>
      </c>
      <c r="L15" s="66">
        <f t="shared" si="1"/>
        <v>-2.8760000000000001E-3</v>
      </c>
      <c r="M15" s="69" t="str">
        <f t="shared" si="2"/>
        <v>0</v>
      </c>
      <c r="N15" s="69">
        <f>COUNT(Raw!M15)</f>
        <v>1</v>
      </c>
      <c r="O15" s="69" t="str">
        <f>Raw!A15</f>
        <v>2026.05.29 17:45:39</v>
      </c>
      <c r="P15" s="4">
        <f>Raw!M15+Raw!K15</f>
        <v>-28.6</v>
      </c>
      <c r="Q15" s="69" t="str">
        <f t="shared" si="0"/>
        <v>2026.05.29</v>
      </c>
    </row>
    <row r="16" spans="1:35" x14ac:dyDescent="0.35">
      <c r="A16" s="76"/>
      <c r="B16" s="76">
        <f>Raw!B16</f>
        <v>94520601</v>
      </c>
      <c r="C16" s="1" t="str">
        <f>Raw!A16</f>
        <v>2026.06.01 07:15:48</v>
      </c>
      <c r="D16" s="1" t="str">
        <f>Raw!I16</f>
        <v>2026.06.01 16:12:31</v>
      </c>
      <c r="E16" s="76" t="str">
        <f>Raw!D16</f>
        <v>sell</v>
      </c>
      <c r="F16" s="76" t="str">
        <f>Raw!C16</f>
        <v>XAUUSD.raw</v>
      </c>
      <c r="G16" s="4">
        <f>Raw!F16</f>
        <v>4516.04</v>
      </c>
      <c r="I16" s="4">
        <f t="shared" ref="I16:I19" si="4">P16+K16</f>
        <v>113.05000000000001</v>
      </c>
      <c r="J16" s="76">
        <f>Raw!E16</f>
        <v>0.03</v>
      </c>
      <c r="K16" s="4">
        <f>Raw!K16</f>
        <v>-0.16</v>
      </c>
      <c r="L16" s="66">
        <f t="shared" ref="L16:L19" si="5">I16/10000</f>
        <v>1.1305000000000001E-2</v>
      </c>
      <c r="M16" s="76" t="str">
        <f t="shared" ref="M16:M19" si="6">IF(I16&gt;0,"1","0")</f>
        <v>1</v>
      </c>
      <c r="N16" s="76">
        <f>COUNT(Raw!M16)</f>
        <v>1</v>
      </c>
      <c r="O16" s="76" t="str">
        <f>Raw!A16</f>
        <v>2026.06.01 07:15:48</v>
      </c>
      <c r="P16" s="4">
        <f>Raw!M16+Raw!K16</f>
        <v>113.21000000000001</v>
      </c>
      <c r="Q16" s="76" t="str">
        <f t="shared" ref="Q16:Q19" si="7">LEFT(C16,10)</f>
        <v>2026.06.01</v>
      </c>
    </row>
    <row r="17" spans="1:17" x14ac:dyDescent="0.35">
      <c r="A17" s="76"/>
      <c r="B17" s="76">
        <f>Raw!B17</f>
        <v>94767432</v>
      </c>
      <c r="C17" s="1" t="str">
        <f>Raw!A17</f>
        <v>2026.06.02 07:16:54</v>
      </c>
      <c r="D17" s="1" t="str">
        <f>Raw!I17</f>
        <v>2026.06.02 08:10:52</v>
      </c>
      <c r="E17" s="76" t="str">
        <f>Raw!D17</f>
        <v>buy</v>
      </c>
      <c r="F17" s="76" t="str">
        <f>Raw!C17</f>
        <v>NAS100.raw</v>
      </c>
      <c r="G17" s="4">
        <f>Raw!F17</f>
        <v>30367.006000000001</v>
      </c>
      <c r="I17" s="4">
        <f t="shared" si="4"/>
        <v>148.04</v>
      </c>
      <c r="J17" s="76">
        <f>Raw!E17</f>
        <v>2</v>
      </c>
      <c r="K17" s="4">
        <f>Raw!K17</f>
        <v>0</v>
      </c>
      <c r="L17" s="66">
        <f t="shared" si="5"/>
        <v>1.4803999999999999E-2</v>
      </c>
      <c r="M17" s="76" t="str">
        <f t="shared" si="6"/>
        <v>1</v>
      </c>
      <c r="N17" s="76">
        <f>COUNT(Raw!M17)</f>
        <v>1</v>
      </c>
      <c r="O17" s="76" t="str">
        <f>Raw!A17</f>
        <v>2026.06.02 07:16:54</v>
      </c>
      <c r="P17" s="4">
        <f>Raw!M17+Raw!K17</f>
        <v>148.04</v>
      </c>
      <c r="Q17" s="76" t="str">
        <f t="shared" si="7"/>
        <v>2026.06.02</v>
      </c>
    </row>
    <row r="18" spans="1:17" x14ac:dyDescent="0.35">
      <c r="A18" s="76"/>
      <c r="B18" s="76">
        <f>Raw!B18</f>
        <v>94769850</v>
      </c>
      <c r="C18" s="1" t="str">
        <f>Raw!A18</f>
        <v>2026.06.02 07:36:27</v>
      </c>
      <c r="D18" s="1" t="str">
        <f>Raw!I18</f>
        <v>2026.06.02 08:10:52</v>
      </c>
      <c r="E18" s="76" t="str">
        <f>Raw!D18</f>
        <v>buy</v>
      </c>
      <c r="F18" s="76" t="str">
        <f>Raw!C18</f>
        <v>NAS100.raw</v>
      </c>
      <c r="G18" s="4">
        <f>Raw!F18</f>
        <v>30383.999</v>
      </c>
      <c r="I18" s="4">
        <f t="shared" si="4"/>
        <v>114.05</v>
      </c>
      <c r="J18" s="76">
        <f>Raw!E18</f>
        <v>2</v>
      </c>
      <c r="K18" s="4">
        <f>Raw!K18</f>
        <v>0</v>
      </c>
      <c r="L18" s="66">
        <f t="shared" si="5"/>
        <v>1.1405E-2</v>
      </c>
      <c r="M18" s="76" t="str">
        <f t="shared" si="6"/>
        <v>1</v>
      </c>
      <c r="N18" s="76">
        <f>COUNT(Raw!M18)</f>
        <v>1</v>
      </c>
      <c r="O18" s="76" t="str">
        <f>Raw!A18</f>
        <v>2026.06.02 07:36:27</v>
      </c>
      <c r="P18" s="4">
        <f>Raw!M18+Raw!K18</f>
        <v>114.05</v>
      </c>
      <c r="Q18" s="76" t="str">
        <f t="shared" si="7"/>
        <v>2026.06.02</v>
      </c>
    </row>
    <row r="19" spans="1:17" x14ac:dyDescent="0.35">
      <c r="A19" s="76"/>
      <c r="B19" s="76">
        <f>Raw!B19</f>
        <v>94775406</v>
      </c>
      <c r="C19" s="1" t="str">
        <f>Raw!A19</f>
        <v>2026.06.02 08:03:11</v>
      </c>
      <c r="D19" s="1" t="str">
        <f>Raw!I19</f>
        <v>2026.06.02 08:10:52</v>
      </c>
      <c r="E19" s="76" t="str">
        <f>Raw!D19</f>
        <v>buy</v>
      </c>
      <c r="F19" s="76" t="str">
        <f>Raw!C19</f>
        <v>NAS100.raw</v>
      </c>
      <c r="G19" s="4">
        <f>Raw!F19</f>
        <v>30423.93</v>
      </c>
      <c r="I19" s="4">
        <f t="shared" si="4"/>
        <v>34.19</v>
      </c>
      <c r="J19" s="76">
        <f>Raw!E19</f>
        <v>2</v>
      </c>
      <c r="K19" s="4">
        <f>Raw!K19</f>
        <v>0</v>
      </c>
      <c r="L19" s="66">
        <f t="shared" si="5"/>
        <v>3.4189999999999997E-3</v>
      </c>
      <c r="M19" s="76" t="str">
        <f t="shared" si="6"/>
        <v>1</v>
      </c>
      <c r="N19" s="76">
        <f>COUNT(Raw!M19)</f>
        <v>1</v>
      </c>
      <c r="O19" s="76" t="str">
        <f>Raw!A19</f>
        <v>2026.06.02 08:03:11</v>
      </c>
      <c r="P19" s="4">
        <f>Raw!M19+Raw!K19</f>
        <v>34.19</v>
      </c>
      <c r="Q19" s="76" t="str">
        <f t="shared" si="7"/>
        <v>2026.06.02</v>
      </c>
    </row>
    <row r="20" spans="1:17" x14ac:dyDescent="0.35">
      <c r="B20" s="76">
        <f>Raw!B20</f>
        <v>94932059</v>
      </c>
      <c r="C20" s="1" t="str">
        <f>Raw!A20</f>
        <v>2026.06.02 18:30:17</v>
      </c>
      <c r="D20" s="1" t="str">
        <f>Raw!I20</f>
        <v>2026.06.02 18:32:51</v>
      </c>
      <c r="E20" s="76" t="str">
        <f>Raw!D20</f>
        <v>buy</v>
      </c>
      <c r="F20" s="76" t="str">
        <f>Raw!C20</f>
        <v>XAUUSD.raw</v>
      </c>
      <c r="G20" s="4">
        <f>Raw!F20</f>
        <v>4504</v>
      </c>
      <c r="I20" s="4">
        <f t="shared" ref="I20:I33" si="8">P20+K20</f>
        <v>-1.28</v>
      </c>
      <c r="J20" s="76">
        <f>Raw!E20</f>
        <v>0.08</v>
      </c>
      <c r="K20" s="4">
        <f>Raw!K20</f>
        <v>-0.4</v>
      </c>
      <c r="L20" s="66">
        <f t="shared" ref="L20:L33" si="9">I20/10000</f>
        <v>-1.2799999999999999E-4</v>
      </c>
      <c r="M20" s="76" t="str">
        <f t="shared" ref="M20:M33" si="10">IF(I20&gt;0,"1","0")</f>
        <v>0</v>
      </c>
      <c r="N20" s="76">
        <f>COUNT(Raw!M20)</f>
        <v>1</v>
      </c>
      <c r="O20" s="76" t="str">
        <f>Raw!A20</f>
        <v>2026.06.02 18:30:17</v>
      </c>
      <c r="P20" s="4">
        <f>Raw!M20+Raw!K20</f>
        <v>-0.88</v>
      </c>
      <c r="Q20" s="76" t="str">
        <f t="shared" ref="Q20:Q33" si="11">LEFT(C20,10)</f>
        <v>2026.06.02</v>
      </c>
    </row>
    <row r="21" spans="1:17" x14ac:dyDescent="0.35">
      <c r="B21" s="76">
        <f>Raw!B21</f>
        <v>94934822</v>
      </c>
      <c r="C21" s="1" t="str">
        <f>Raw!A21</f>
        <v>2026.06.02 18:37:59</v>
      </c>
      <c r="D21" s="1" t="str">
        <f>Raw!I21</f>
        <v>2026.06.02 18:47:47</v>
      </c>
      <c r="E21" s="76" t="str">
        <f>Raw!D21</f>
        <v>buy</v>
      </c>
      <c r="F21" s="76" t="str">
        <f>Raw!C21</f>
        <v>XAUUSD.raw</v>
      </c>
      <c r="G21" s="4">
        <f>Raw!F21</f>
        <v>4507.63</v>
      </c>
      <c r="I21" s="4">
        <f t="shared" si="8"/>
        <v>-14.9</v>
      </c>
      <c r="J21" s="76">
        <f>Raw!E21</f>
        <v>0.1</v>
      </c>
      <c r="K21" s="4">
        <f>Raw!K21</f>
        <v>-0.5</v>
      </c>
      <c r="L21" s="66">
        <f t="shared" si="9"/>
        <v>-1.49E-3</v>
      </c>
      <c r="M21" s="76" t="str">
        <f t="shared" si="10"/>
        <v>0</v>
      </c>
      <c r="N21" s="76">
        <f>COUNT(Raw!M21)</f>
        <v>1</v>
      </c>
      <c r="O21" s="76" t="str">
        <f>Raw!A21</f>
        <v>2026.06.02 18:37:59</v>
      </c>
      <c r="P21" s="4">
        <f>Raw!M21+Raw!K21</f>
        <v>-14.4</v>
      </c>
      <c r="Q21" s="76" t="str">
        <f t="shared" si="11"/>
        <v>2026.06.02</v>
      </c>
    </row>
    <row r="22" spans="1:17" x14ac:dyDescent="0.35">
      <c r="B22" s="76">
        <f>Raw!B22</f>
        <v>94934742</v>
      </c>
      <c r="C22" s="1" t="str">
        <f>Raw!A22</f>
        <v>2026.06.02 18:38:48</v>
      </c>
      <c r="D22" s="1" t="str">
        <f>Raw!I22</f>
        <v>2026.06.02 18:47:47</v>
      </c>
      <c r="E22" s="76" t="str">
        <f>Raw!D22</f>
        <v>buy</v>
      </c>
      <c r="F22" s="76" t="str">
        <f>Raw!C22</f>
        <v>XAUUSD.raw</v>
      </c>
      <c r="G22" s="4">
        <f>Raw!F22</f>
        <v>4506.6000000000004</v>
      </c>
      <c r="I22" s="4">
        <f t="shared" si="8"/>
        <v>-4.5999999999999996</v>
      </c>
      <c r="J22" s="76">
        <f>Raw!E22</f>
        <v>0.1</v>
      </c>
      <c r="K22" s="4">
        <f>Raw!K22</f>
        <v>-0.5</v>
      </c>
      <c r="L22" s="66">
        <f t="shared" si="9"/>
        <v>-4.5999999999999996E-4</v>
      </c>
      <c r="M22" s="76" t="str">
        <f t="shared" si="10"/>
        <v>0</v>
      </c>
      <c r="N22" s="76">
        <f>COUNT(Raw!M22)</f>
        <v>1</v>
      </c>
      <c r="O22" s="76" t="str">
        <f>Raw!A22</f>
        <v>2026.06.02 18:38:48</v>
      </c>
      <c r="P22" s="4">
        <f>Raw!M22+Raw!K22</f>
        <v>-4.0999999999999996</v>
      </c>
      <c r="Q22" s="76" t="str">
        <f t="shared" si="11"/>
        <v>2026.06.02</v>
      </c>
    </row>
    <row r="23" spans="1:17" x14ac:dyDescent="0.35">
      <c r="B23" s="76">
        <f>Raw!B23</f>
        <v>94935743</v>
      </c>
      <c r="C23" s="1" t="str">
        <f>Raw!A23</f>
        <v>2026.06.02 18:41:23</v>
      </c>
      <c r="D23" s="1" t="str">
        <f>Raw!I23</f>
        <v>2026.06.02 18:47:47</v>
      </c>
      <c r="E23" s="76" t="str">
        <f>Raw!D23</f>
        <v>buy</v>
      </c>
      <c r="F23" s="76" t="str">
        <f>Raw!C23</f>
        <v>XAUUSD.raw</v>
      </c>
      <c r="G23" s="4">
        <f>Raw!F23</f>
        <v>4500.79</v>
      </c>
      <c r="I23" s="4">
        <f t="shared" si="8"/>
        <v>53.5</v>
      </c>
      <c r="J23" s="76">
        <f>Raw!E23</f>
        <v>0.1</v>
      </c>
      <c r="K23" s="4">
        <f>Raw!K23</f>
        <v>-0.5</v>
      </c>
      <c r="L23" s="66">
        <f t="shared" si="9"/>
        <v>5.3499999999999997E-3</v>
      </c>
      <c r="M23" s="76" t="str">
        <f t="shared" si="10"/>
        <v>1</v>
      </c>
      <c r="N23" s="76">
        <f>COUNT(Raw!M23)</f>
        <v>1</v>
      </c>
      <c r="O23" s="76" t="str">
        <f>Raw!A23</f>
        <v>2026.06.02 18:41:23</v>
      </c>
      <c r="P23" s="4">
        <f>Raw!M23+Raw!K23</f>
        <v>54</v>
      </c>
      <c r="Q23" s="76" t="str">
        <f t="shared" si="11"/>
        <v>2026.06.02</v>
      </c>
    </row>
    <row r="24" spans="1:17" x14ac:dyDescent="0.35">
      <c r="B24" s="76">
        <f>Raw!B24</f>
        <v>94936469</v>
      </c>
      <c r="C24" s="1" t="str">
        <f>Raw!A24</f>
        <v>2026.06.02 18:45:43</v>
      </c>
      <c r="D24" s="1" t="str">
        <f>Raw!I24</f>
        <v>2026.06.02 18:47:47</v>
      </c>
      <c r="E24" s="76" t="str">
        <f>Raw!D24</f>
        <v>buy</v>
      </c>
      <c r="F24" s="76" t="str">
        <f>Raw!C24</f>
        <v>XAUUSD.raw</v>
      </c>
      <c r="G24" s="4">
        <f>Raw!F24</f>
        <v>4502.1000000000004</v>
      </c>
      <c r="I24" s="4">
        <f t="shared" si="8"/>
        <v>40.4</v>
      </c>
      <c r="J24" s="76">
        <f>Raw!E24</f>
        <v>0.1</v>
      </c>
      <c r="K24" s="4">
        <f>Raw!K24</f>
        <v>-0.5</v>
      </c>
      <c r="L24" s="66">
        <f t="shared" si="9"/>
        <v>4.0400000000000002E-3</v>
      </c>
      <c r="M24" s="76" t="str">
        <f t="shared" si="10"/>
        <v>1</v>
      </c>
      <c r="N24" s="76">
        <f>COUNT(Raw!M24)</f>
        <v>1</v>
      </c>
      <c r="O24" s="76" t="str">
        <f>Raw!A24</f>
        <v>2026.06.02 18:45:43</v>
      </c>
      <c r="P24" s="4">
        <f>Raw!M24+Raw!K24</f>
        <v>40.9</v>
      </c>
      <c r="Q24" s="76" t="str">
        <f t="shared" si="11"/>
        <v>2026.06.02</v>
      </c>
    </row>
    <row r="25" spans="1:17" x14ac:dyDescent="0.35">
      <c r="B25" s="76">
        <f>Raw!B25</f>
        <v>95008780</v>
      </c>
      <c r="C25" s="1" t="str">
        <f>Raw!A25</f>
        <v>2026.06.03 07:03:44</v>
      </c>
      <c r="D25" s="1" t="str">
        <f>Raw!I25</f>
        <v>2026.06.03 07:57:00</v>
      </c>
      <c r="E25" s="76" t="str">
        <f>Raw!D25</f>
        <v>buy</v>
      </c>
      <c r="F25" s="76" t="str">
        <f>Raw!C25</f>
        <v>XAUUSD.raw</v>
      </c>
      <c r="G25" s="4">
        <f>Raw!F25</f>
        <v>4485.76</v>
      </c>
      <c r="I25" s="4">
        <f t="shared" si="8"/>
        <v>-50.959999999999994</v>
      </c>
      <c r="J25" s="76">
        <f>Raw!E25</f>
        <v>0.03</v>
      </c>
      <c r="K25" s="4">
        <f>Raw!K25</f>
        <v>-0.16</v>
      </c>
      <c r="L25" s="66">
        <f t="shared" si="9"/>
        <v>-5.095999999999999E-3</v>
      </c>
      <c r="M25" s="76" t="str">
        <f t="shared" si="10"/>
        <v>0</v>
      </c>
      <c r="N25" s="76">
        <f>COUNT(Raw!M25)</f>
        <v>1</v>
      </c>
      <c r="O25" s="76" t="str">
        <f>Raw!A25</f>
        <v>2026.06.03 07:03:44</v>
      </c>
      <c r="P25" s="4">
        <f>Raw!M25+Raw!K25</f>
        <v>-50.8</v>
      </c>
      <c r="Q25" s="76" t="str">
        <f t="shared" si="11"/>
        <v>2026.06.03</v>
      </c>
    </row>
    <row r="26" spans="1:17" x14ac:dyDescent="0.35">
      <c r="B26" s="76">
        <f>Raw!B26</f>
        <v>95010950</v>
      </c>
      <c r="C26" s="1" t="str">
        <f>Raw!A26</f>
        <v>2026.06.03 07:48:29</v>
      </c>
      <c r="D26" s="1" t="str">
        <f>Raw!I26</f>
        <v>2026.06.03 10:40:59</v>
      </c>
      <c r="E26" s="76" t="str">
        <f>Raw!D26</f>
        <v>buy</v>
      </c>
      <c r="F26" s="76" t="str">
        <f>Raw!C26</f>
        <v>NAS100.raw</v>
      </c>
      <c r="G26" s="4">
        <f>Raw!F26</f>
        <v>30697.9</v>
      </c>
      <c r="I26" s="4">
        <f t="shared" si="8"/>
        <v>-12.9</v>
      </c>
      <c r="J26" s="76">
        <f>Raw!E26</f>
        <v>0.8</v>
      </c>
      <c r="K26" s="4">
        <f>Raw!K26</f>
        <v>0</v>
      </c>
      <c r="L26" s="66">
        <f t="shared" si="9"/>
        <v>-1.2900000000000001E-3</v>
      </c>
      <c r="M26" s="76" t="str">
        <f t="shared" si="10"/>
        <v>0</v>
      </c>
      <c r="N26" s="76">
        <f>COUNT(Raw!M26)</f>
        <v>1</v>
      </c>
      <c r="O26" s="76" t="str">
        <f>Raw!A26</f>
        <v>2026.06.03 07:48:29</v>
      </c>
      <c r="P26" s="4">
        <f>Raw!M26+Raw!K26</f>
        <v>-12.9</v>
      </c>
      <c r="Q26" s="76" t="str">
        <f t="shared" si="11"/>
        <v>2026.06.03</v>
      </c>
    </row>
    <row r="27" spans="1:17" x14ac:dyDescent="0.35">
      <c r="B27" s="76">
        <f>Raw!B27</f>
        <v>95035877</v>
      </c>
      <c r="C27" s="1" t="str">
        <f>Raw!A27</f>
        <v>2026.06.03 10:17:59</v>
      </c>
      <c r="D27" s="1" t="str">
        <f>Raw!I27</f>
        <v>2026.06.03 10:40:59</v>
      </c>
      <c r="E27" s="76" t="str">
        <f>Raw!D27</f>
        <v>buy</v>
      </c>
      <c r="F27" s="76" t="str">
        <f>Raw!C27</f>
        <v>NAS100.raw</v>
      </c>
      <c r="G27" s="4">
        <f>Raw!F27</f>
        <v>30720.738000000001</v>
      </c>
      <c r="I27" s="4">
        <f t="shared" si="8"/>
        <v>-38.72</v>
      </c>
      <c r="J27" s="76">
        <f>Raw!E27</f>
        <v>1</v>
      </c>
      <c r="K27" s="4">
        <f>Raw!K27</f>
        <v>0</v>
      </c>
      <c r="L27" s="66">
        <f t="shared" si="9"/>
        <v>-3.872E-3</v>
      </c>
      <c r="M27" s="76" t="str">
        <f t="shared" si="10"/>
        <v>0</v>
      </c>
      <c r="N27" s="76">
        <f>COUNT(Raw!M27)</f>
        <v>1</v>
      </c>
      <c r="O27" s="76" t="str">
        <f>Raw!A27</f>
        <v>2026.06.03 10:17:59</v>
      </c>
      <c r="P27" s="4">
        <f>Raw!M27+Raw!K27</f>
        <v>-38.72</v>
      </c>
      <c r="Q27" s="76" t="str">
        <f t="shared" si="11"/>
        <v>2026.06.03</v>
      </c>
    </row>
    <row r="28" spans="1:17" x14ac:dyDescent="0.35">
      <c r="B28" s="76">
        <f>Raw!B28</f>
        <v>95116943</v>
      </c>
      <c r="C28" s="1" t="str">
        <f>Raw!A28</f>
        <v>2026.06.03 16:20:43</v>
      </c>
      <c r="D28" s="1" t="str">
        <f>Raw!I28</f>
        <v>2026.06.03 16:44:33</v>
      </c>
      <c r="E28" s="76" t="str">
        <f>Raw!D28</f>
        <v>sell</v>
      </c>
      <c r="F28" s="76" t="str">
        <f>Raw!C28</f>
        <v>XAUUSD.raw</v>
      </c>
      <c r="G28" s="4">
        <f>Raw!F28</f>
        <v>4454.46</v>
      </c>
      <c r="I28" s="4">
        <f t="shared" si="8"/>
        <v>95.08</v>
      </c>
      <c r="J28" s="76">
        <f>Raw!E28</f>
        <v>0.04</v>
      </c>
      <c r="K28" s="4">
        <f>Raw!K28</f>
        <v>-0.2</v>
      </c>
      <c r="L28" s="66">
        <f t="shared" si="9"/>
        <v>9.5079999999999991E-3</v>
      </c>
      <c r="M28" s="76" t="str">
        <f t="shared" si="10"/>
        <v>1</v>
      </c>
      <c r="N28" s="76">
        <f>COUNT(Raw!M28)</f>
        <v>1</v>
      </c>
      <c r="O28" s="76" t="str">
        <f>Raw!A28</f>
        <v>2026.06.03 16:20:43</v>
      </c>
      <c r="P28" s="4">
        <f>Raw!M28+Raw!K28</f>
        <v>95.28</v>
      </c>
      <c r="Q28" s="76" t="str">
        <f t="shared" si="11"/>
        <v>2026.06.03</v>
      </c>
    </row>
    <row r="29" spans="1:17" x14ac:dyDescent="0.35">
      <c r="B29" s="76">
        <f>Raw!B29</f>
        <v>95248849</v>
      </c>
      <c r="C29" s="1" t="str">
        <f>Raw!A29</f>
        <v>2026.06.04 08:08:03</v>
      </c>
      <c r="D29" s="1" t="str">
        <f>Raw!I29</f>
        <v>2026.06.04 11:21:58</v>
      </c>
      <c r="E29" s="76" t="str">
        <f>Raw!D29</f>
        <v>buy</v>
      </c>
      <c r="F29" s="76" t="str">
        <f>Raw!C29</f>
        <v>XAUUSD.raw</v>
      </c>
      <c r="G29" s="4">
        <f>Raw!F29</f>
        <v>4475.84</v>
      </c>
      <c r="I29" s="4">
        <f t="shared" si="8"/>
        <v>-96.96</v>
      </c>
      <c r="J29" s="76">
        <f>Raw!E29</f>
        <v>0.06</v>
      </c>
      <c r="K29" s="4">
        <f>Raw!K29</f>
        <v>-0.3</v>
      </c>
      <c r="L29" s="66">
        <f t="shared" si="9"/>
        <v>-9.6959999999999998E-3</v>
      </c>
      <c r="M29" s="76" t="str">
        <f t="shared" si="10"/>
        <v>0</v>
      </c>
      <c r="N29" s="76">
        <f>COUNT(Raw!M29)</f>
        <v>1</v>
      </c>
      <c r="O29" s="76" t="str">
        <f>Raw!A29</f>
        <v>2026.06.04 08:08:03</v>
      </c>
      <c r="P29" s="4">
        <f>Raw!M29+Raw!K29</f>
        <v>-96.66</v>
      </c>
      <c r="Q29" s="76" t="str">
        <f t="shared" si="11"/>
        <v>2026.06.04</v>
      </c>
    </row>
    <row r="30" spans="1:17" x14ac:dyDescent="0.35">
      <c r="B30" s="76">
        <f>Raw!B30</f>
        <v>95247215</v>
      </c>
      <c r="C30" s="1" t="str">
        <f>Raw!A30</f>
        <v>2026.06.04 09:40:56</v>
      </c>
      <c r="D30" s="1" t="str">
        <f>Raw!I30</f>
        <v>2026.06.04 11:19:44</v>
      </c>
      <c r="E30" s="76" t="str">
        <f>Raw!D30</f>
        <v>buy</v>
      </c>
      <c r="F30" s="76" t="str">
        <f>Raw!C30</f>
        <v>NAS100.raw</v>
      </c>
      <c r="G30" s="4">
        <f>Raw!F30</f>
        <v>30506.263999999999</v>
      </c>
      <c r="I30" s="4">
        <f t="shared" si="8"/>
        <v>-32.74</v>
      </c>
      <c r="J30" s="76">
        <f>Raw!E30</f>
        <v>0.3</v>
      </c>
      <c r="K30" s="4">
        <f>Raw!K30</f>
        <v>0</v>
      </c>
      <c r="L30" s="66">
        <f t="shared" si="9"/>
        <v>-3.274E-3</v>
      </c>
      <c r="M30" s="76" t="str">
        <f t="shared" si="10"/>
        <v>0</v>
      </c>
      <c r="N30" s="76">
        <f>COUNT(Raw!M30)</f>
        <v>1</v>
      </c>
      <c r="O30" s="76" t="str">
        <f>Raw!A30</f>
        <v>2026.06.04 09:40:56</v>
      </c>
      <c r="P30" s="4">
        <f>Raw!M30+Raw!K30</f>
        <v>-32.74</v>
      </c>
      <c r="Q30" s="76" t="str">
        <f t="shared" si="11"/>
        <v>2026.06.04</v>
      </c>
    </row>
    <row r="31" spans="1:17" x14ac:dyDescent="0.35">
      <c r="B31" s="76">
        <f>Raw!B31</f>
        <v>95246531</v>
      </c>
      <c r="C31" s="1" t="str">
        <f>Raw!A31</f>
        <v>2026.06.04 09:47:21</v>
      </c>
      <c r="D31" s="1" t="str">
        <f>Raw!I31</f>
        <v>2026.06.04 11:21:58</v>
      </c>
      <c r="E31" s="76" t="str">
        <f>Raw!D31</f>
        <v>buy</v>
      </c>
      <c r="F31" s="76" t="str">
        <f>Raw!C31</f>
        <v>XAUUSD.raw</v>
      </c>
      <c r="G31" s="4">
        <f>Raw!F31</f>
        <v>4465.82</v>
      </c>
      <c r="I31" s="4">
        <f t="shared" si="8"/>
        <v>-36.839999999999996</v>
      </c>
      <c r="J31" s="76">
        <f>Raw!E31</f>
        <v>0.06</v>
      </c>
      <c r="K31" s="4">
        <f>Raw!K31</f>
        <v>-0.3</v>
      </c>
      <c r="L31" s="66">
        <f t="shared" si="9"/>
        <v>-3.6839999999999998E-3</v>
      </c>
      <c r="M31" s="76" t="str">
        <f t="shared" si="10"/>
        <v>0</v>
      </c>
      <c r="N31" s="76">
        <f>COUNT(Raw!M31)</f>
        <v>1</v>
      </c>
      <c r="O31" s="76" t="str">
        <f>Raw!A31</f>
        <v>2026.06.04 09:47:21</v>
      </c>
      <c r="P31" s="4">
        <f>Raw!M31+Raw!K31</f>
        <v>-36.54</v>
      </c>
      <c r="Q31" s="76" t="str">
        <f t="shared" si="11"/>
        <v>2026.06.04</v>
      </c>
    </row>
    <row r="32" spans="1:17" x14ac:dyDescent="0.35">
      <c r="B32" s="76">
        <f>Raw!B32</f>
        <v>95287835</v>
      </c>
      <c r="C32" s="1" t="str">
        <f>Raw!A32</f>
        <v>2026.06.04 11:31:23</v>
      </c>
      <c r="D32" s="1" t="str">
        <f>Raw!I32</f>
        <v>2026.06.04 14:47:02</v>
      </c>
      <c r="E32" s="76" t="str">
        <f>Raw!D32</f>
        <v>buy</v>
      </c>
      <c r="F32" s="76" t="str">
        <f>Raw!C32</f>
        <v>XAUUSD.raw</v>
      </c>
      <c r="G32" s="4">
        <f>Raw!F32</f>
        <v>4464.32</v>
      </c>
      <c r="I32" s="4">
        <f t="shared" si="8"/>
        <v>199.37999999999997</v>
      </c>
      <c r="J32" s="76">
        <f>Raw!E32</f>
        <v>0.06</v>
      </c>
      <c r="K32" s="4">
        <f>Raw!K32</f>
        <v>-0.3</v>
      </c>
      <c r="L32" s="66">
        <f t="shared" si="9"/>
        <v>1.9937999999999997E-2</v>
      </c>
      <c r="M32" s="76" t="str">
        <f t="shared" si="10"/>
        <v>1</v>
      </c>
      <c r="N32" s="76">
        <f>COUNT(Raw!M32)</f>
        <v>1</v>
      </c>
      <c r="O32" s="76" t="str">
        <f>Raw!A32</f>
        <v>2026.06.04 11:31:23</v>
      </c>
      <c r="P32" s="4">
        <f>Raw!M32+Raw!K32</f>
        <v>199.67999999999998</v>
      </c>
      <c r="Q32" s="76" t="str">
        <f t="shared" si="11"/>
        <v>2026.06.04</v>
      </c>
    </row>
    <row r="33" spans="2:17" x14ac:dyDescent="0.35">
      <c r="B33" s="76">
        <f>Raw!B33</f>
        <v>95287843</v>
      </c>
      <c r="C33" s="1" t="str">
        <f>Raw!A33</f>
        <v>2026.06.04 11:31:25</v>
      </c>
      <c r="D33" s="1" t="str">
        <f>Raw!I33</f>
        <v>2026.06.04 14:47:02</v>
      </c>
      <c r="E33" s="76" t="str">
        <f>Raw!D33</f>
        <v>buy</v>
      </c>
      <c r="F33" s="76" t="str">
        <f>Raw!C33</f>
        <v>XAUUSD.raw</v>
      </c>
      <c r="G33" s="4">
        <f>Raw!F33</f>
        <v>4464.28</v>
      </c>
      <c r="I33" s="4">
        <f t="shared" si="8"/>
        <v>199.61999999999998</v>
      </c>
      <c r="J33" s="76">
        <f>Raw!E33</f>
        <v>0.06</v>
      </c>
      <c r="K33" s="4">
        <f>Raw!K33</f>
        <v>-0.3</v>
      </c>
      <c r="L33" s="66">
        <f t="shared" si="9"/>
        <v>1.9961999999999997E-2</v>
      </c>
      <c r="M33" s="76" t="str">
        <f t="shared" si="10"/>
        <v>1</v>
      </c>
      <c r="N33" s="76">
        <f>COUNT(Raw!M33)</f>
        <v>1</v>
      </c>
      <c r="O33" s="76" t="str">
        <f>Raw!A33</f>
        <v>2026.06.04 11:31:25</v>
      </c>
      <c r="P33" s="4">
        <f>Raw!M33+Raw!K33</f>
        <v>199.92</v>
      </c>
      <c r="Q33" s="76" t="str">
        <f t="shared" si="11"/>
        <v>2026.06.04</v>
      </c>
    </row>
    <row r="34" spans="2:17" x14ac:dyDescent="0.35">
      <c r="B34" s="53"/>
      <c r="E34" s="53"/>
      <c r="F34" s="53"/>
      <c r="J34" s="53"/>
      <c r="L34" s="53"/>
      <c r="M34" s="53"/>
      <c r="N34" s="53"/>
      <c r="O34" s="53"/>
      <c r="P34" s="4"/>
    </row>
    <row r="35" spans="2:17" x14ac:dyDescent="0.35">
      <c r="B35" s="53"/>
      <c r="E35" s="53"/>
      <c r="F35" s="53"/>
      <c r="J35" s="53"/>
      <c r="L35" s="53"/>
      <c r="M35" s="53"/>
      <c r="N35" s="53"/>
      <c r="O35" s="53"/>
      <c r="P35" s="4"/>
    </row>
    <row r="36" spans="2:17" x14ac:dyDescent="0.35">
      <c r="B36" s="53"/>
      <c r="E36" s="53"/>
      <c r="F36" s="53"/>
      <c r="J36" s="53"/>
      <c r="L36" s="53"/>
      <c r="M36" s="53"/>
      <c r="N36" s="53"/>
      <c r="O36" s="53"/>
      <c r="P36" s="4"/>
    </row>
    <row r="37" spans="2:17" x14ac:dyDescent="0.35">
      <c r="B37" s="53"/>
      <c r="E37" s="53"/>
      <c r="F37" s="53"/>
      <c r="J37" s="53"/>
      <c r="L37" s="53"/>
      <c r="M37" s="53"/>
      <c r="N37" s="53"/>
      <c r="O37" s="53"/>
      <c r="P37" s="4"/>
    </row>
    <row r="38" spans="2:17" x14ac:dyDescent="0.35">
      <c r="B38" s="53"/>
      <c r="E38" s="53"/>
      <c r="F38" s="53"/>
      <c r="J38" s="53"/>
      <c r="L38" s="53"/>
      <c r="M38" s="53"/>
      <c r="N38" s="53"/>
      <c r="O38" s="53"/>
      <c r="P38" s="4"/>
    </row>
    <row r="39" spans="2:17" x14ac:dyDescent="0.35">
      <c r="B39" s="53"/>
      <c r="E39" s="53"/>
      <c r="F39" s="53"/>
      <c r="J39" s="53"/>
      <c r="L39" s="53"/>
      <c r="M39" s="53"/>
      <c r="N39" s="53"/>
      <c r="O39" s="53"/>
      <c r="P39" s="4"/>
    </row>
    <row r="40" spans="2:17" x14ac:dyDescent="0.35">
      <c r="B40" s="53"/>
      <c r="E40" s="53"/>
      <c r="F40" s="53"/>
      <c r="J40" s="53"/>
      <c r="L40" s="53"/>
      <c r="M40" s="53"/>
      <c r="N40" s="53"/>
      <c r="O40" s="53"/>
      <c r="P40" s="4"/>
    </row>
    <row r="41" spans="2:17" x14ac:dyDescent="0.35">
      <c r="B41" s="53"/>
      <c r="E41" s="53"/>
      <c r="F41" s="53"/>
      <c r="J41" s="53"/>
      <c r="L41" s="53"/>
      <c r="M41" s="53"/>
      <c r="N41" s="53"/>
      <c r="O41" s="53"/>
      <c r="P41" s="4"/>
    </row>
    <row r="42" spans="2:17" x14ac:dyDescent="0.35">
      <c r="B42" s="53"/>
      <c r="E42" s="53"/>
      <c r="F42" s="53"/>
      <c r="J42" s="53"/>
      <c r="L42" s="53"/>
      <c r="M42" s="53"/>
      <c r="N42" s="53"/>
      <c r="O42" s="53"/>
      <c r="P42" s="4"/>
    </row>
    <row r="43" spans="2:17" x14ac:dyDescent="0.35">
      <c r="B43" s="53"/>
      <c r="E43" s="53"/>
      <c r="F43" s="53"/>
      <c r="J43" s="53"/>
      <c r="L43" s="53"/>
      <c r="M43" s="53"/>
      <c r="N43" s="53"/>
      <c r="O43" s="53"/>
      <c r="P43" s="4"/>
    </row>
    <row r="44" spans="2:17" x14ac:dyDescent="0.35">
      <c r="B44" s="53"/>
      <c r="E44" s="53"/>
      <c r="F44" s="53"/>
      <c r="J44" s="53"/>
      <c r="L44" s="53"/>
      <c r="M44" s="53"/>
      <c r="N44" s="53"/>
      <c r="O44" s="53"/>
      <c r="P44" s="4"/>
    </row>
    <row r="45" spans="2:17" x14ac:dyDescent="0.35">
      <c r="B45" s="53"/>
      <c r="E45" s="53"/>
      <c r="F45" s="53"/>
      <c r="J45" s="53"/>
      <c r="L45" s="53"/>
      <c r="M45" s="53"/>
      <c r="N45" s="53"/>
      <c r="O45" s="53"/>
      <c r="P45" s="4"/>
    </row>
    <row r="46" spans="2:17" x14ac:dyDescent="0.35">
      <c r="B46" s="53"/>
      <c r="E46" s="53"/>
      <c r="F46" s="53"/>
      <c r="J46" s="53"/>
      <c r="L46" s="53"/>
      <c r="M46" s="53"/>
      <c r="N46" s="53"/>
      <c r="O46" s="53"/>
      <c r="P46" s="4"/>
    </row>
    <row r="47" spans="2:17" x14ac:dyDescent="0.35">
      <c r="B47" s="53"/>
      <c r="E47" s="53"/>
      <c r="F47" s="53"/>
      <c r="J47" s="53"/>
      <c r="L47" s="53"/>
      <c r="M47" s="53"/>
      <c r="N47" s="53"/>
      <c r="O47" s="53"/>
      <c r="P47" s="4"/>
    </row>
    <row r="48" spans="2:17" x14ac:dyDescent="0.35">
      <c r="B48" s="53"/>
      <c r="E48" s="53"/>
      <c r="F48" s="53"/>
      <c r="J48" s="53"/>
      <c r="L48" s="53"/>
      <c r="M48" s="53"/>
      <c r="N48" s="53"/>
      <c r="O48" s="53"/>
      <c r="P48" s="4"/>
    </row>
    <row r="49" spans="2:16" x14ac:dyDescent="0.35">
      <c r="B49" s="53"/>
      <c r="E49" s="53"/>
      <c r="F49" s="53"/>
      <c r="J49" s="53"/>
      <c r="L49" s="53"/>
      <c r="M49" s="53"/>
      <c r="N49" s="53"/>
      <c r="O49" s="53"/>
      <c r="P49" s="4"/>
    </row>
    <row r="50" spans="2:16" x14ac:dyDescent="0.35">
      <c r="B50" s="53"/>
      <c r="E50" s="53"/>
      <c r="F50" s="53"/>
      <c r="J50" s="53"/>
      <c r="L50" s="53"/>
      <c r="M50" s="53"/>
      <c r="N50" s="53"/>
      <c r="O50" s="53"/>
      <c r="P50" s="4"/>
    </row>
    <row r="51" spans="2:16" x14ac:dyDescent="0.35">
      <c r="B51" s="53"/>
      <c r="E51" s="53"/>
      <c r="F51" s="53"/>
      <c r="J51" s="53"/>
      <c r="L51" s="53"/>
      <c r="M51" s="53"/>
      <c r="N51" s="53"/>
      <c r="O51" s="53"/>
      <c r="P51" s="4"/>
    </row>
    <row r="52" spans="2:16" x14ac:dyDescent="0.35">
      <c r="B52" s="54"/>
      <c r="E52" s="54"/>
      <c r="F52" s="54"/>
      <c r="J52" s="54"/>
      <c r="L52" s="54"/>
      <c r="M52" s="54"/>
      <c r="N52" s="54"/>
      <c r="O52" s="54"/>
      <c r="P52" s="4"/>
    </row>
    <row r="53" spans="2:16" x14ac:dyDescent="0.35">
      <c r="B53" s="54"/>
      <c r="E53" s="54"/>
      <c r="F53" s="54"/>
      <c r="J53" s="54"/>
      <c r="L53" s="54"/>
      <c r="M53" s="54"/>
      <c r="N53" s="54"/>
      <c r="O53" s="54"/>
      <c r="P53" s="4"/>
    </row>
    <row r="54" spans="2:16" x14ac:dyDescent="0.35">
      <c r="B54" s="54"/>
      <c r="E54" s="54"/>
      <c r="F54" s="54"/>
      <c r="J54" s="54"/>
      <c r="L54" s="54"/>
      <c r="M54" s="54"/>
      <c r="N54" s="54"/>
      <c r="O54" s="54"/>
      <c r="P54" s="4"/>
    </row>
    <row r="55" spans="2:16" x14ac:dyDescent="0.35">
      <c r="B55" s="54"/>
      <c r="E55" s="54"/>
      <c r="F55" s="54"/>
      <c r="J55" s="54"/>
      <c r="L55" s="54"/>
      <c r="M55" s="54"/>
      <c r="N55" s="54"/>
      <c r="O55" s="54"/>
      <c r="P55" s="4"/>
    </row>
    <row r="56" spans="2:16" x14ac:dyDescent="0.35">
      <c r="B56" s="54"/>
      <c r="E56" s="54"/>
      <c r="F56" s="54"/>
      <c r="J56" s="54"/>
      <c r="L56" s="54"/>
      <c r="M56" s="54"/>
      <c r="N56" s="54"/>
      <c r="O56" s="54"/>
      <c r="P56" s="4"/>
    </row>
    <row r="57" spans="2:16" x14ac:dyDescent="0.35">
      <c r="B57" s="54"/>
      <c r="E57" s="54"/>
      <c r="F57" s="54"/>
      <c r="J57" s="54"/>
      <c r="L57" s="54"/>
      <c r="M57" s="54"/>
      <c r="N57" s="54"/>
      <c r="O57" s="54"/>
      <c r="P57" s="4"/>
    </row>
    <row r="58" spans="2:16" x14ac:dyDescent="0.35">
      <c r="B58" s="54"/>
      <c r="E58" s="54"/>
      <c r="F58" s="54"/>
      <c r="J58" s="54"/>
      <c r="L58" s="54"/>
      <c r="M58" s="54"/>
      <c r="N58" s="54"/>
      <c r="O58" s="54"/>
      <c r="P58" s="4"/>
    </row>
    <row r="59" spans="2:16" x14ac:dyDescent="0.35">
      <c r="B59" s="54"/>
      <c r="E59" s="54"/>
      <c r="F59" s="54"/>
      <c r="J59" s="54"/>
      <c r="L59" s="54"/>
      <c r="M59" s="54"/>
      <c r="N59" s="54"/>
      <c r="O59" s="54"/>
      <c r="P59" s="4"/>
    </row>
    <row r="60" spans="2:16" x14ac:dyDescent="0.35">
      <c r="B60" s="54"/>
      <c r="E60" s="54"/>
      <c r="F60" s="54"/>
      <c r="J60" s="54"/>
      <c r="L60" s="54"/>
      <c r="M60" s="54"/>
      <c r="N60" s="54"/>
      <c r="O60" s="54"/>
      <c r="P60" s="4"/>
    </row>
    <row r="61" spans="2:16" x14ac:dyDescent="0.35">
      <c r="B61" s="54"/>
      <c r="E61" s="54"/>
      <c r="F61" s="54"/>
      <c r="J61" s="54"/>
      <c r="L61" s="54"/>
      <c r="M61" s="54"/>
      <c r="N61" s="54"/>
      <c r="O61" s="54"/>
      <c r="P61" s="4"/>
    </row>
    <row r="62" spans="2:16" x14ac:dyDescent="0.35">
      <c r="B62" s="54"/>
      <c r="E62" s="54"/>
      <c r="F62" s="54"/>
      <c r="J62" s="54"/>
      <c r="L62" s="54"/>
      <c r="M62" s="54"/>
      <c r="N62" s="54"/>
      <c r="O62" s="54"/>
      <c r="P62" s="4"/>
    </row>
    <row r="63" spans="2:16" x14ac:dyDescent="0.35">
      <c r="B63" s="54"/>
      <c r="E63" s="54"/>
      <c r="F63" s="54"/>
      <c r="J63" s="54"/>
      <c r="L63" s="54"/>
      <c r="M63" s="54"/>
      <c r="N63" s="54"/>
      <c r="O63" s="54"/>
      <c r="P63" s="4"/>
    </row>
    <row r="64" spans="2:16" x14ac:dyDescent="0.35">
      <c r="B64" s="54"/>
      <c r="E64" s="54"/>
      <c r="F64" s="54"/>
      <c r="J64" s="54"/>
      <c r="L64" s="54"/>
      <c r="M64" s="54"/>
      <c r="N64" s="54"/>
      <c r="O64" s="54"/>
      <c r="P64" s="4"/>
    </row>
    <row r="65" spans="2:16" x14ac:dyDescent="0.35">
      <c r="B65" s="54"/>
      <c r="E65" s="54"/>
      <c r="F65" s="54"/>
      <c r="J65" s="54"/>
      <c r="L65" s="54"/>
      <c r="M65" s="54"/>
      <c r="N65" s="54"/>
      <c r="O65" s="54"/>
      <c r="P65" s="4"/>
    </row>
    <row r="66" spans="2:16" x14ac:dyDescent="0.35">
      <c r="B66" s="54"/>
      <c r="E66" s="54"/>
      <c r="F66" s="54"/>
      <c r="J66" s="54"/>
      <c r="L66" s="54"/>
      <c r="M66" s="54"/>
      <c r="N66" s="54"/>
      <c r="O66" s="54"/>
      <c r="P66" s="4"/>
    </row>
    <row r="67" spans="2:16" x14ac:dyDescent="0.35">
      <c r="B67" s="54"/>
      <c r="E67" s="54"/>
      <c r="F67" s="54"/>
      <c r="J67" s="54"/>
      <c r="L67" s="54"/>
      <c r="M67" s="54"/>
      <c r="N67" s="54"/>
      <c r="O67" s="54"/>
      <c r="P67" s="4"/>
    </row>
    <row r="68" spans="2:16" x14ac:dyDescent="0.35">
      <c r="B68" s="54"/>
      <c r="E68" s="54"/>
      <c r="F68" s="54"/>
      <c r="J68" s="54"/>
      <c r="L68" s="54"/>
      <c r="M68" s="54"/>
      <c r="N68" s="54"/>
      <c r="O68" s="54"/>
      <c r="P68" s="4"/>
    </row>
    <row r="69" spans="2:16" x14ac:dyDescent="0.35">
      <c r="B69" s="54"/>
      <c r="E69" s="54"/>
      <c r="F69" s="54"/>
      <c r="J69" s="54"/>
      <c r="L69" s="54"/>
      <c r="M69" s="54"/>
      <c r="N69" s="54"/>
      <c r="O69" s="54"/>
      <c r="P69" s="4"/>
    </row>
    <row r="70" spans="2:16" x14ac:dyDescent="0.35">
      <c r="B70" s="54"/>
      <c r="E70" s="54"/>
      <c r="F70" s="54"/>
      <c r="J70" s="54"/>
      <c r="L70" s="54"/>
      <c r="M70" s="54"/>
      <c r="N70" s="54"/>
      <c r="O70" s="54"/>
      <c r="P70" s="4"/>
    </row>
    <row r="71" spans="2:16" x14ac:dyDescent="0.35">
      <c r="B71" s="54"/>
      <c r="E71" s="54"/>
      <c r="F71" s="54"/>
      <c r="J71" s="54"/>
      <c r="L71" s="54"/>
      <c r="M71" s="54"/>
      <c r="N71" s="54"/>
      <c r="O71" s="54"/>
      <c r="P71" s="4"/>
    </row>
    <row r="72" spans="2:16" x14ac:dyDescent="0.35">
      <c r="B72" s="54"/>
      <c r="E72" s="54"/>
      <c r="F72" s="54"/>
      <c r="J72" s="54"/>
      <c r="L72" s="54"/>
      <c r="M72" s="54"/>
      <c r="N72" s="54"/>
      <c r="O72" s="54"/>
      <c r="P72" s="4"/>
    </row>
    <row r="73" spans="2:16" x14ac:dyDescent="0.35">
      <c r="B73" s="54"/>
      <c r="E73" s="54"/>
      <c r="F73" s="54"/>
      <c r="J73" s="54"/>
      <c r="L73" s="54"/>
      <c r="M73" s="54"/>
      <c r="N73" s="54"/>
      <c r="O73" s="54"/>
      <c r="P73" s="4"/>
    </row>
    <row r="74" spans="2:16" x14ac:dyDescent="0.35">
      <c r="B74" s="54"/>
      <c r="E74" s="54"/>
      <c r="F74" s="54"/>
      <c r="J74" s="54"/>
      <c r="L74" s="54"/>
      <c r="M74" s="54"/>
      <c r="N74" s="54"/>
      <c r="O74" s="54"/>
      <c r="P74" s="4"/>
    </row>
    <row r="75" spans="2:16" x14ac:dyDescent="0.35">
      <c r="B75" s="54"/>
      <c r="E75" s="54"/>
      <c r="F75" s="54"/>
      <c r="J75" s="54"/>
      <c r="L75" s="54"/>
      <c r="M75" s="54"/>
      <c r="N75" s="54"/>
      <c r="O75" s="54"/>
      <c r="P75" s="4"/>
    </row>
    <row r="76" spans="2:16" x14ac:dyDescent="0.35">
      <c r="B76" s="54"/>
      <c r="E76" s="54"/>
      <c r="F76" s="54"/>
      <c r="J76" s="54"/>
      <c r="L76" s="54"/>
      <c r="M76" s="54"/>
      <c r="N76" s="54"/>
      <c r="O76" s="54"/>
      <c r="P76" s="4"/>
    </row>
    <row r="77" spans="2:16" x14ac:dyDescent="0.35">
      <c r="B77" s="54"/>
      <c r="E77" s="54"/>
      <c r="F77" s="54"/>
      <c r="J77" s="54"/>
      <c r="L77" s="54"/>
      <c r="M77" s="54"/>
      <c r="N77" s="54"/>
      <c r="O77" s="54"/>
      <c r="P77" s="4"/>
    </row>
    <row r="78" spans="2:16" x14ac:dyDescent="0.35">
      <c r="B78" s="54"/>
      <c r="E78" s="54"/>
      <c r="F78" s="54"/>
      <c r="J78" s="54"/>
      <c r="L78" s="54"/>
      <c r="M78" s="54"/>
      <c r="N78" s="54"/>
      <c r="O78" s="54"/>
      <c r="P78" s="4"/>
    </row>
    <row r="79" spans="2:16" x14ac:dyDescent="0.35">
      <c r="B79" s="54"/>
      <c r="E79" s="54"/>
      <c r="F79" s="54"/>
      <c r="J79" s="54"/>
      <c r="L79" s="54"/>
      <c r="M79" s="54"/>
      <c r="N79" s="54"/>
      <c r="O79" s="54"/>
      <c r="P79" s="4"/>
    </row>
    <row r="80" spans="2:16" x14ac:dyDescent="0.35">
      <c r="B80" s="54"/>
      <c r="E80" s="54"/>
      <c r="F80" s="54"/>
      <c r="J80" s="54"/>
      <c r="L80" s="54"/>
      <c r="M80" s="54"/>
      <c r="N80" s="54"/>
      <c r="O80" s="54"/>
      <c r="P80" s="4"/>
    </row>
    <row r="81" spans="2:16" x14ac:dyDescent="0.35">
      <c r="B81" s="54"/>
      <c r="E81" s="54"/>
      <c r="F81" s="54"/>
      <c r="J81" s="54"/>
      <c r="L81" s="54"/>
      <c r="M81" s="54"/>
      <c r="N81" s="54"/>
      <c r="O81" s="54"/>
      <c r="P81" s="4"/>
    </row>
    <row r="82" spans="2:16" x14ac:dyDescent="0.35">
      <c r="B82" s="55"/>
      <c r="E82" s="55"/>
      <c r="F82" s="55"/>
      <c r="J82" s="55"/>
      <c r="L82" s="55"/>
      <c r="M82" s="55"/>
      <c r="N82" s="55"/>
      <c r="O82" s="55"/>
      <c r="P82" s="4"/>
    </row>
    <row r="83" spans="2:16" x14ac:dyDescent="0.35">
      <c r="B83" s="55"/>
      <c r="E83" s="55"/>
      <c r="F83" s="55"/>
      <c r="J83" s="55"/>
      <c r="L83" s="55"/>
      <c r="M83" s="55"/>
      <c r="N83" s="55"/>
      <c r="O83" s="55"/>
      <c r="P83" s="4"/>
    </row>
    <row r="84" spans="2:16" x14ac:dyDescent="0.35">
      <c r="B84" s="55"/>
      <c r="E84" s="55"/>
      <c r="F84" s="55"/>
      <c r="J84" s="55"/>
      <c r="L84" s="55"/>
      <c r="M84" s="55"/>
      <c r="N84" s="55"/>
      <c r="O84" s="55"/>
      <c r="P84" s="4"/>
    </row>
    <row r="85" spans="2:16" x14ac:dyDescent="0.35">
      <c r="B85" s="55"/>
      <c r="E85" s="55"/>
      <c r="F85" s="55"/>
      <c r="J85" s="55"/>
      <c r="L85" s="55"/>
      <c r="M85" s="55"/>
      <c r="N85" s="55"/>
      <c r="O85" s="55"/>
      <c r="P85" s="4"/>
    </row>
    <row r="86" spans="2:16" x14ac:dyDescent="0.35">
      <c r="B86" s="55"/>
      <c r="E86" s="55"/>
      <c r="F86" s="55"/>
      <c r="J86" s="55"/>
      <c r="L86" s="55"/>
      <c r="M86" s="55"/>
      <c r="N86" s="55"/>
      <c r="O86" s="55"/>
      <c r="P86" s="4"/>
    </row>
    <row r="87" spans="2:16" x14ac:dyDescent="0.35">
      <c r="B87" s="55"/>
      <c r="E87" s="55"/>
      <c r="F87" s="55"/>
      <c r="J87" s="55"/>
      <c r="L87" s="55"/>
      <c r="M87" s="55"/>
      <c r="N87" s="55"/>
      <c r="O87" s="55"/>
      <c r="P87" s="4"/>
    </row>
    <row r="88" spans="2:16" x14ac:dyDescent="0.35">
      <c r="B88" s="55"/>
      <c r="E88" s="55"/>
      <c r="F88" s="55"/>
      <c r="J88" s="55"/>
      <c r="L88" s="55"/>
      <c r="M88" s="55"/>
      <c r="N88" s="55"/>
      <c r="O88" s="55"/>
      <c r="P88" s="4"/>
    </row>
    <row r="89" spans="2:16" x14ac:dyDescent="0.35">
      <c r="B89" s="55"/>
      <c r="E89" s="55"/>
      <c r="F89" s="55"/>
      <c r="J89" s="55"/>
      <c r="L89" s="55"/>
      <c r="M89" s="55"/>
      <c r="N89" s="55"/>
      <c r="O89" s="55"/>
      <c r="P89" s="4"/>
    </row>
    <row r="90" spans="2:16" x14ac:dyDescent="0.35">
      <c r="B90" s="55"/>
      <c r="E90" s="55"/>
      <c r="F90" s="55"/>
      <c r="J90" s="55"/>
      <c r="L90" s="55"/>
      <c r="M90" s="55"/>
      <c r="N90" s="55"/>
      <c r="O90" s="55"/>
      <c r="P90" s="4"/>
    </row>
    <row r="91" spans="2:16" x14ac:dyDescent="0.35">
      <c r="B91" s="55"/>
      <c r="E91" s="55"/>
      <c r="F91" s="55"/>
      <c r="J91" s="55"/>
      <c r="L91" s="55"/>
      <c r="M91" s="55"/>
      <c r="N91" s="55"/>
      <c r="O91" s="55"/>
      <c r="P91" s="4"/>
    </row>
    <row r="92" spans="2:16" x14ac:dyDescent="0.35">
      <c r="B92" s="55"/>
      <c r="E92" s="55"/>
      <c r="F92" s="55"/>
      <c r="J92" s="55"/>
      <c r="L92" s="55"/>
      <c r="M92" s="55"/>
      <c r="N92" s="55"/>
      <c r="O92" s="55"/>
      <c r="P92" s="4"/>
    </row>
    <row r="93" spans="2:16" x14ac:dyDescent="0.35">
      <c r="B93" s="55"/>
      <c r="E93" s="55"/>
      <c r="F93" s="55"/>
      <c r="J93" s="55"/>
      <c r="L93" s="55"/>
      <c r="M93" s="55"/>
      <c r="N93" s="55"/>
      <c r="O93" s="55"/>
      <c r="P93" s="4"/>
    </row>
    <row r="94" spans="2:16" x14ac:dyDescent="0.35">
      <c r="B94" s="55"/>
      <c r="E94" s="55"/>
      <c r="F94" s="55"/>
      <c r="J94" s="55"/>
      <c r="L94" s="55"/>
      <c r="M94" s="55"/>
      <c r="N94" s="55"/>
      <c r="O94" s="55"/>
      <c r="P94" s="4"/>
    </row>
    <row r="95" spans="2:16" x14ac:dyDescent="0.35">
      <c r="B95" s="55"/>
      <c r="E95" s="55"/>
      <c r="F95" s="55"/>
      <c r="J95" s="55"/>
      <c r="L95" s="55"/>
      <c r="M95" s="55"/>
      <c r="N95" s="55"/>
      <c r="O95" s="55"/>
      <c r="P95" s="4"/>
    </row>
    <row r="96" spans="2:16" x14ac:dyDescent="0.35">
      <c r="B96" s="55"/>
      <c r="E96" s="55"/>
      <c r="F96" s="55"/>
      <c r="J96" s="55"/>
      <c r="L96" s="55"/>
      <c r="M96" s="55"/>
      <c r="N96" s="55"/>
      <c r="O96" s="55"/>
      <c r="P96" s="4"/>
    </row>
    <row r="97" spans="2:16" x14ac:dyDescent="0.35">
      <c r="B97" s="55"/>
      <c r="E97" s="55"/>
      <c r="F97" s="55"/>
      <c r="J97" s="55"/>
      <c r="L97" s="55"/>
      <c r="M97" s="55"/>
      <c r="N97" s="55"/>
      <c r="O97" s="55"/>
      <c r="P97" s="4"/>
    </row>
    <row r="98" spans="2:16" x14ac:dyDescent="0.35">
      <c r="B98" s="55"/>
      <c r="E98" s="55"/>
      <c r="F98" s="55"/>
      <c r="J98" s="55"/>
      <c r="L98" s="55"/>
      <c r="M98" s="55"/>
      <c r="N98" s="55"/>
      <c r="O98" s="55"/>
      <c r="P98" s="4"/>
    </row>
    <row r="99" spans="2:16" x14ac:dyDescent="0.35">
      <c r="B99" s="55"/>
      <c r="E99" s="55"/>
      <c r="F99" s="55"/>
      <c r="J99" s="55"/>
      <c r="L99" s="55"/>
      <c r="M99" s="55"/>
      <c r="N99" s="55"/>
      <c r="O99" s="55"/>
      <c r="P99" s="4"/>
    </row>
    <row r="100" spans="2:16" x14ac:dyDescent="0.35">
      <c r="B100" s="55"/>
      <c r="E100" s="55"/>
      <c r="F100" s="55"/>
      <c r="J100" s="55"/>
      <c r="L100" s="55"/>
      <c r="M100" s="55"/>
      <c r="N100" s="55"/>
      <c r="O100" s="55"/>
      <c r="P100" s="4"/>
    </row>
    <row r="101" spans="2:16" x14ac:dyDescent="0.35">
      <c r="B101" s="55"/>
      <c r="E101" s="55"/>
      <c r="F101" s="55"/>
      <c r="J101" s="55"/>
      <c r="L101" s="55"/>
      <c r="M101" s="55"/>
      <c r="N101" s="55"/>
      <c r="O101" s="55"/>
      <c r="P101" s="4"/>
    </row>
    <row r="102" spans="2:16" x14ac:dyDescent="0.35">
      <c r="B102" s="55"/>
      <c r="E102" s="55"/>
      <c r="F102" s="55"/>
      <c r="J102" s="55"/>
      <c r="L102" s="55"/>
      <c r="M102" s="55"/>
      <c r="N102" s="55"/>
      <c r="O102" s="55"/>
      <c r="P102" s="4"/>
    </row>
    <row r="103" spans="2:16" x14ac:dyDescent="0.35">
      <c r="B103" s="55"/>
      <c r="E103" s="55"/>
      <c r="F103" s="55"/>
      <c r="J103" s="55"/>
      <c r="L103" s="55"/>
      <c r="M103" s="55"/>
      <c r="N103" s="55"/>
      <c r="O103" s="55"/>
      <c r="P103" s="4"/>
    </row>
    <row r="104" spans="2:16" x14ac:dyDescent="0.35">
      <c r="B104" s="55"/>
      <c r="E104" s="55"/>
      <c r="F104" s="55"/>
      <c r="J104" s="55"/>
      <c r="L104" s="55"/>
      <c r="M104" s="55"/>
      <c r="N104" s="55"/>
      <c r="O104" s="55"/>
      <c r="P104" s="4"/>
    </row>
    <row r="105" spans="2:16" x14ac:dyDescent="0.35">
      <c r="B105" s="55"/>
      <c r="E105" s="55"/>
      <c r="F105" s="55"/>
      <c r="J105" s="55"/>
      <c r="L105" s="55"/>
      <c r="M105" s="55"/>
      <c r="N105" s="55"/>
      <c r="O105" s="55"/>
      <c r="P105" s="4"/>
    </row>
    <row r="106" spans="2:16" x14ac:dyDescent="0.35">
      <c r="B106" s="55"/>
      <c r="E106" s="55"/>
      <c r="F106" s="55"/>
      <c r="J106" s="55"/>
      <c r="L106" s="55"/>
      <c r="M106" s="55"/>
      <c r="N106" s="55"/>
      <c r="O106" s="55"/>
      <c r="P106" s="4"/>
    </row>
    <row r="107" spans="2:16" x14ac:dyDescent="0.35">
      <c r="B107" s="55"/>
      <c r="E107" s="55"/>
      <c r="F107" s="55"/>
      <c r="J107" s="55"/>
      <c r="L107" s="55"/>
      <c r="M107" s="55"/>
      <c r="N107" s="55"/>
      <c r="O107" s="55"/>
      <c r="P107" s="4"/>
    </row>
    <row r="108" spans="2:16" x14ac:dyDescent="0.35">
      <c r="B108" s="55"/>
      <c r="E108" s="55"/>
      <c r="F108" s="55"/>
      <c r="J108" s="55"/>
      <c r="L108" s="55"/>
      <c r="M108" s="55"/>
      <c r="N108" s="55"/>
      <c r="O108" s="55"/>
      <c r="P108" s="4"/>
    </row>
    <row r="109" spans="2:16" x14ac:dyDescent="0.35">
      <c r="B109" s="55"/>
      <c r="E109" s="55"/>
      <c r="F109" s="55"/>
      <c r="J109" s="55"/>
      <c r="L109" s="55"/>
      <c r="M109" s="55"/>
      <c r="N109" s="55"/>
      <c r="O109" s="55"/>
      <c r="P109" s="4"/>
    </row>
    <row r="110" spans="2:16" x14ac:dyDescent="0.35">
      <c r="B110" s="55"/>
      <c r="E110" s="55"/>
      <c r="F110" s="55"/>
      <c r="J110" s="55"/>
      <c r="L110" s="55"/>
      <c r="M110" s="55"/>
      <c r="N110" s="55"/>
      <c r="O110" s="55"/>
      <c r="P110" s="4"/>
    </row>
    <row r="111" spans="2:16" x14ac:dyDescent="0.35">
      <c r="B111" s="55"/>
      <c r="E111" s="55"/>
      <c r="F111" s="55"/>
      <c r="J111" s="55"/>
      <c r="L111" s="55"/>
      <c r="M111" s="55"/>
      <c r="N111" s="55"/>
      <c r="O111" s="55"/>
      <c r="P111" s="4"/>
    </row>
    <row r="112" spans="2:16" x14ac:dyDescent="0.35">
      <c r="B112" s="55"/>
      <c r="E112" s="55"/>
      <c r="F112" s="55"/>
      <c r="J112" s="55"/>
      <c r="L112" s="55"/>
      <c r="M112" s="55"/>
      <c r="N112" s="55"/>
      <c r="O112" s="55"/>
      <c r="P112" s="4"/>
    </row>
    <row r="113" spans="2:16" x14ac:dyDescent="0.35">
      <c r="B113" s="55"/>
      <c r="E113" s="55"/>
      <c r="F113" s="55"/>
      <c r="J113" s="55"/>
      <c r="L113" s="55"/>
      <c r="M113" s="55"/>
      <c r="N113" s="55"/>
      <c r="O113" s="55"/>
      <c r="P113" s="4"/>
    </row>
    <row r="114" spans="2:16" x14ac:dyDescent="0.35">
      <c r="B114" s="55"/>
      <c r="E114" s="55"/>
      <c r="F114" s="55"/>
      <c r="J114" s="55"/>
      <c r="L114" s="55"/>
      <c r="M114" s="55"/>
      <c r="N114" s="55"/>
      <c r="O114" s="55"/>
      <c r="P114" s="4"/>
    </row>
    <row r="115" spans="2:16" x14ac:dyDescent="0.35">
      <c r="B115" s="55"/>
      <c r="E115" s="55"/>
      <c r="F115" s="55"/>
      <c r="J115" s="55"/>
      <c r="L115" s="55"/>
      <c r="M115" s="55"/>
      <c r="N115" s="55"/>
      <c r="O115" s="55"/>
      <c r="P115" s="4"/>
    </row>
    <row r="116" spans="2:16" x14ac:dyDescent="0.35">
      <c r="B116" s="55"/>
      <c r="E116" s="55"/>
      <c r="F116" s="55"/>
      <c r="J116" s="55"/>
      <c r="L116" s="55"/>
      <c r="M116" s="55"/>
      <c r="N116" s="55"/>
      <c r="O116" s="55"/>
      <c r="P116" s="4"/>
    </row>
    <row r="117" spans="2:16" x14ac:dyDescent="0.35">
      <c r="B117" s="55"/>
      <c r="E117" s="55"/>
      <c r="F117" s="55"/>
      <c r="J117" s="55"/>
      <c r="L117" s="55"/>
      <c r="M117" s="55"/>
      <c r="N117" s="55"/>
      <c r="O117" s="55"/>
      <c r="P117" s="4"/>
    </row>
    <row r="118" spans="2:16" x14ac:dyDescent="0.35">
      <c r="B118" s="55"/>
      <c r="E118" s="55"/>
      <c r="F118" s="55"/>
      <c r="J118" s="55"/>
      <c r="L118" s="55"/>
      <c r="M118" s="55"/>
      <c r="N118" s="55"/>
      <c r="O118" s="55"/>
      <c r="P118" s="4"/>
    </row>
    <row r="119" spans="2:16" x14ac:dyDescent="0.35">
      <c r="B119" s="55"/>
      <c r="E119" s="55"/>
      <c r="F119" s="55"/>
      <c r="J119" s="55"/>
      <c r="L119" s="55"/>
      <c r="M119" s="55"/>
      <c r="N119" s="55"/>
      <c r="O119" s="55"/>
      <c r="P119" s="4"/>
    </row>
    <row r="120" spans="2:16" x14ac:dyDescent="0.35">
      <c r="B120" s="55"/>
      <c r="E120" s="55"/>
      <c r="F120" s="55"/>
      <c r="J120" s="55"/>
      <c r="L120" s="55"/>
      <c r="M120" s="55"/>
      <c r="N120" s="55"/>
      <c r="O120" s="55"/>
      <c r="P120" s="4"/>
    </row>
    <row r="121" spans="2:16" x14ac:dyDescent="0.35">
      <c r="P121" s="4"/>
    </row>
    <row r="122" spans="2:16" x14ac:dyDescent="0.35">
      <c r="P122" s="4"/>
    </row>
    <row r="123" spans="2:16" x14ac:dyDescent="0.35">
      <c r="P123" s="4"/>
    </row>
    <row r="124" spans="2:16" x14ac:dyDescent="0.35">
      <c r="P124" s="4"/>
    </row>
    <row r="125" spans="2:16" x14ac:dyDescent="0.35">
      <c r="P125" s="4"/>
    </row>
    <row r="126" spans="2:16" x14ac:dyDescent="0.35">
      <c r="P126" s="4"/>
    </row>
    <row r="127" spans="2:16" x14ac:dyDescent="0.35">
      <c r="P127" s="4"/>
    </row>
    <row r="128" spans="2:16" x14ac:dyDescent="0.35">
      <c r="P128" s="4"/>
    </row>
    <row r="129" spans="16:16" x14ac:dyDescent="0.35">
      <c r="P129" s="4"/>
    </row>
    <row r="130" spans="16:16" x14ac:dyDescent="0.35">
      <c r="P130" s="4"/>
    </row>
    <row r="131" spans="16:16" x14ac:dyDescent="0.35">
      <c r="P131" s="4"/>
    </row>
    <row r="132" spans="16:16" x14ac:dyDescent="0.35">
      <c r="P132" s="4"/>
    </row>
    <row r="133" spans="16:16" x14ac:dyDescent="0.35">
      <c r="P133" s="4"/>
    </row>
    <row r="134" spans="16:16" x14ac:dyDescent="0.35">
      <c r="P134" s="4"/>
    </row>
    <row r="135" spans="16:16" x14ac:dyDescent="0.35">
      <c r="P135" s="4"/>
    </row>
    <row r="136" spans="16:16" x14ac:dyDescent="0.35">
      <c r="P136" s="4"/>
    </row>
    <row r="137" spans="16:16" x14ac:dyDescent="0.35">
      <c r="P137" s="4"/>
    </row>
    <row r="138" spans="16:16" x14ac:dyDescent="0.35">
      <c r="P138" s="4"/>
    </row>
    <row r="139" spans="16:16" x14ac:dyDescent="0.35">
      <c r="P139" s="4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7"/>
  <sheetViews>
    <sheetView topLeftCell="A295" workbookViewId="0">
      <selection activeCell="F315" sqref="F315"/>
    </sheetView>
  </sheetViews>
  <sheetFormatPr defaultRowHeight="14.5" x14ac:dyDescent="0.35"/>
  <cols>
    <col min="2" max="2" width="11.26953125" customWidth="1"/>
    <col min="3" max="3" width="9.81640625" customWidth="1"/>
    <col min="5" max="5" width="8.81640625" customWidth="1"/>
    <col min="6" max="6" width="11.453125" customWidth="1"/>
    <col min="7" max="7" width="10" customWidth="1"/>
    <col min="8" max="8" width="13.1796875" customWidth="1"/>
    <col min="9" max="9" width="9.81640625" customWidth="1"/>
    <col min="11" max="11" width="12.7265625" customWidth="1"/>
    <col min="13" max="13" width="12.453125" customWidth="1"/>
    <col min="14" max="14" width="15.453125" customWidth="1"/>
    <col min="15" max="15" width="14" customWidth="1"/>
    <col min="16" max="16" width="10.1796875" customWidth="1"/>
    <col min="25" max="35" width="9.179687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59</v>
      </c>
      <c r="M1" t="s">
        <v>11</v>
      </c>
      <c r="N1" t="s">
        <v>12</v>
      </c>
      <c r="O1" t="s">
        <v>13</v>
      </c>
      <c r="P1" t="s">
        <v>37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35">
      <c r="A2">
        <v>2</v>
      </c>
      <c r="B2" s="50">
        <v>0</v>
      </c>
      <c r="C2" s="50">
        <v>0</v>
      </c>
      <c r="D2" t="s">
        <v>58</v>
      </c>
      <c r="E2" t="s">
        <v>56</v>
      </c>
      <c r="F2">
        <v>25748.424999999999</v>
      </c>
      <c r="G2">
        <v>25770.69</v>
      </c>
      <c r="H2">
        <v>55.66</v>
      </c>
      <c r="I2">
        <v>0</v>
      </c>
      <c r="J2">
        <v>0</v>
      </c>
      <c r="L2" t="s">
        <v>57</v>
      </c>
      <c r="N2" t="s">
        <v>126</v>
      </c>
      <c r="O2" t="s">
        <v>127</v>
      </c>
      <c r="P2">
        <v>55.66</v>
      </c>
    </row>
    <row r="3" spans="1:35" x14ac:dyDescent="0.35">
      <c r="A3">
        <v>3</v>
      </c>
      <c r="B3" s="50">
        <v>0</v>
      </c>
      <c r="C3" s="50">
        <v>0</v>
      </c>
      <c r="D3" t="s">
        <v>58</v>
      </c>
      <c r="E3" t="s">
        <v>56</v>
      </c>
      <c r="F3">
        <v>25772.635999999999</v>
      </c>
      <c r="G3">
        <v>25770.69</v>
      </c>
      <c r="H3">
        <v>-1.95</v>
      </c>
      <c r="I3">
        <v>0</v>
      </c>
      <c r="J3">
        <v>0</v>
      </c>
      <c r="L3" t="s">
        <v>60</v>
      </c>
      <c r="N3" t="s">
        <v>128</v>
      </c>
      <c r="O3" t="s">
        <v>127</v>
      </c>
      <c r="P3">
        <v>-1.95</v>
      </c>
    </row>
    <row r="4" spans="1:35" x14ac:dyDescent="0.35">
      <c r="A4">
        <v>4</v>
      </c>
      <c r="B4" s="50">
        <v>0</v>
      </c>
      <c r="C4" s="50">
        <v>0</v>
      </c>
      <c r="D4" t="s">
        <v>58</v>
      </c>
      <c r="E4" t="s">
        <v>56</v>
      </c>
      <c r="F4">
        <v>25755.075000000001</v>
      </c>
      <c r="G4">
        <v>25770.69</v>
      </c>
      <c r="H4">
        <v>15.61</v>
      </c>
      <c r="I4">
        <v>0</v>
      </c>
      <c r="J4">
        <v>0</v>
      </c>
      <c r="L4" t="s">
        <v>57</v>
      </c>
      <c r="N4" t="s">
        <v>129</v>
      </c>
      <c r="O4" t="s">
        <v>127</v>
      </c>
      <c r="P4">
        <v>15.61</v>
      </c>
    </row>
    <row r="5" spans="1:35" x14ac:dyDescent="0.35">
      <c r="A5">
        <v>5</v>
      </c>
      <c r="B5" s="50">
        <v>0</v>
      </c>
      <c r="C5" s="50">
        <v>0</v>
      </c>
      <c r="D5" t="s">
        <v>58</v>
      </c>
      <c r="E5" t="s">
        <v>56</v>
      </c>
      <c r="F5">
        <v>25736.641</v>
      </c>
      <c r="G5">
        <v>25770.69</v>
      </c>
      <c r="H5">
        <v>34.049999999999997</v>
      </c>
      <c r="I5">
        <v>0</v>
      </c>
      <c r="J5">
        <v>0</v>
      </c>
      <c r="L5" t="s">
        <v>57</v>
      </c>
      <c r="N5" t="s">
        <v>130</v>
      </c>
      <c r="O5" t="s">
        <v>127</v>
      </c>
      <c r="P5">
        <v>34.049999999999997</v>
      </c>
    </row>
    <row r="6" spans="1:35" x14ac:dyDescent="0.35">
      <c r="A6">
        <v>6</v>
      </c>
      <c r="B6" s="50">
        <v>0</v>
      </c>
      <c r="C6" s="50">
        <v>0</v>
      </c>
      <c r="D6" t="s">
        <v>58</v>
      </c>
      <c r="E6" t="s">
        <v>56</v>
      </c>
      <c r="F6">
        <v>25761.822</v>
      </c>
      <c r="G6">
        <v>25770.69</v>
      </c>
      <c r="H6">
        <v>8.8699999999999992</v>
      </c>
      <c r="I6">
        <v>0</v>
      </c>
      <c r="J6">
        <v>0</v>
      </c>
      <c r="L6" t="s">
        <v>57</v>
      </c>
      <c r="N6" t="s">
        <v>131</v>
      </c>
      <c r="O6" t="s">
        <v>127</v>
      </c>
      <c r="P6">
        <v>8.8699999999999992</v>
      </c>
    </row>
    <row r="7" spans="1:35" x14ac:dyDescent="0.35">
      <c r="A7">
        <v>7</v>
      </c>
      <c r="B7" s="50">
        <v>0</v>
      </c>
      <c r="C7" s="50">
        <v>0</v>
      </c>
      <c r="D7" t="s">
        <v>58</v>
      </c>
      <c r="E7" t="s">
        <v>56</v>
      </c>
      <c r="F7">
        <v>25761.825000000001</v>
      </c>
      <c r="G7">
        <v>25770.69</v>
      </c>
      <c r="H7">
        <v>8.86</v>
      </c>
      <c r="I7">
        <v>0</v>
      </c>
      <c r="J7">
        <v>0</v>
      </c>
      <c r="L7" t="s">
        <v>57</v>
      </c>
      <c r="N7" t="s">
        <v>131</v>
      </c>
      <c r="O7" t="s">
        <v>127</v>
      </c>
      <c r="P7">
        <v>8.86</v>
      </c>
    </row>
    <row r="8" spans="1:35" x14ac:dyDescent="0.35">
      <c r="B8" s="50"/>
      <c r="C8" s="50"/>
    </row>
    <row r="9" spans="1:35" x14ac:dyDescent="0.35">
      <c r="B9" s="50"/>
      <c r="C9" s="50"/>
    </row>
    <row r="10" spans="1:35" x14ac:dyDescent="0.35">
      <c r="B10" s="50"/>
      <c r="C10" s="50"/>
    </row>
    <row r="11" spans="1:35" x14ac:dyDescent="0.35">
      <c r="B11" s="50"/>
      <c r="C11" s="50"/>
    </row>
    <row r="12" spans="1:35" x14ac:dyDescent="0.35">
      <c r="B12" s="50"/>
      <c r="C12" s="50"/>
    </row>
    <row r="13" spans="1:35" x14ac:dyDescent="0.35">
      <c r="B13" s="50"/>
      <c r="C13" s="50"/>
    </row>
    <row r="14" spans="1:35" x14ac:dyDescent="0.35">
      <c r="B14" s="50"/>
      <c r="C14" s="50"/>
    </row>
    <row r="15" spans="1:35" x14ac:dyDescent="0.35">
      <c r="B15" s="50"/>
      <c r="C15" s="50"/>
    </row>
    <row r="16" spans="1:35" x14ac:dyDescent="0.35">
      <c r="B16" s="50"/>
      <c r="C16" s="50"/>
    </row>
    <row r="17" spans="2:3" x14ac:dyDescent="0.35">
      <c r="B17" s="50"/>
      <c r="C17" s="50"/>
    </row>
    <row r="18" spans="2:3" x14ac:dyDescent="0.35">
      <c r="B18" s="50"/>
      <c r="C18" s="50"/>
    </row>
    <row r="19" spans="2:3" x14ac:dyDescent="0.35">
      <c r="B19" s="50"/>
      <c r="C19" s="50"/>
    </row>
    <row r="20" spans="2:3" x14ac:dyDescent="0.35">
      <c r="B20" s="50"/>
      <c r="C20" s="50"/>
    </row>
    <row r="21" spans="2:3" x14ac:dyDescent="0.35">
      <c r="B21" s="50"/>
      <c r="C21" s="50"/>
    </row>
    <row r="22" spans="2:3" x14ac:dyDescent="0.35">
      <c r="B22" s="50"/>
      <c r="C22" s="50"/>
    </row>
    <row r="23" spans="2:3" x14ac:dyDescent="0.35">
      <c r="B23" s="50"/>
      <c r="C23" s="50"/>
    </row>
    <row r="24" spans="2:3" x14ac:dyDescent="0.35">
      <c r="B24" s="50"/>
      <c r="C24" s="50"/>
    </row>
    <row r="25" spans="2:3" x14ac:dyDescent="0.35">
      <c r="B25" s="50"/>
      <c r="C25" s="50"/>
    </row>
    <row r="26" spans="2:3" x14ac:dyDescent="0.35">
      <c r="B26" s="50"/>
      <c r="C26" s="50"/>
    </row>
    <row r="27" spans="2:3" x14ac:dyDescent="0.35">
      <c r="B27" s="50"/>
      <c r="C27" s="50"/>
    </row>
    <row r="28" spans="2:3" x14ac:dyDescent="0.35">
      <c r="B28" s="50"/>
      <c r="C28" s="50"/>
    </row>
    <row r="29" spans="2:3" x14ac:dyDescent="0.35">
      <c r="B29" s="50"/>
      <c r="C29" s="50"/>
    </row>
    <row r="30" spans="2:3" x14ac:dyDescent="0.35">
      <c r="B30" s="50"/>
      <c r="C30" s="50"/>
    </row>
    <row r="31" spans="2:3" x14ac:dyDescent="0.35">
      <c r="B31" s="50"/>
      <c r="C31" s="50"/>
    </row>
    <row r="32" spans="2:3" x14ac:dyDescent="0.35">
      <c r="B32" s="50"/>
      <c r="C32" s="50"/>
    </row>
    <row r="33" spans="2:3" x14ac:dyDescent="0.35">
      <c r="B33" s="50"/>
      <c r="C33" s="50"/>
    </row>
    <row r="34" spans="2:3" x14ac:dyDescent="0.35">
      <c r="B34" s="50"/>
      <c r="C34" s="50"/>
    </row>
    <row r="35" spans="2:3" x14ac:dyDescent="0.35">
      <c r="B35" s="50"/>
      <c r="C35" s="50"/>
    </row>
    <row r="36" spans="2:3" x14ac:dyDescent="0.35">
      <c r="B36" s="50"/>
      <c r="C36" s="50"/>
    </row>
    <row r="37" spans="2:3" x14ac:dyDescent="0.35">
      <c r="B37" s="50"/>
      <c r="C37" s="50"/>
    </row>
    <row r="38" spans="2:3" x14ac:dyDescent="0.35">
      <c r="B38" s="50"/>
      <c r="C38" s="50"/>
    </row>
    <row r="39" spans="2:3" x14ac:dyDescent="0.35">
      <c r="B39" s="50"/>
      <c r="C39" s="50"/>
    </row>
    <row r="40" spans="2:3" x14ac:dyDescent="0.35">
      <c r="B40" s="50"/>
      <c r="C40" s="50"/>
    </row>
    <row r="41" spans="2:3" x14ac:dyDescent="0.35">
      <c r="B41" s="50"/>
      <c r="C41" s="50"/>
    </row>
    <row r="42" spans="2:3" x14ac:dyDescent="0.35">
      <c r="B42" s="50"/>
      <c r="C42" s="50"/>
    </row>
    <row r="43" spans="2:3" x14ac:dyDescent="0.35">
      <c r="B43" s="50"/>
      <c r="C43" s="50"/>
    </row>
    <row r="44" spans="2:3" x14ac:dyDescent="0.35">
      <c r="B44" s="50"/>
      <c r="C44" s="50"/>
    </row>
    <row r="45" spans="2:3" x14ac:dyDescent="0.35">
      <c r="B45" s="50"/>
      <c r="C45" s="50"/>
    </row>
    <row r="46" spans="2:3" x14ac:dyDescent="0.35">
      <c r="B46" s="50"/>
      <c r="C46" s="50"/>
    </row>
    <row r="47" spans="2:3" x14ac:dyDescent="0.35">
      <c r="B47" s="50"/>
      <c r="C47" s="50"/>
    </row>
    <row r="48" spans="2:3" x14ac:dyDescent="0.35">
      <c r="B48" s="50"/>
      <c r="C48" s="50"/>
    </row>
    <row r="49" spans="2:3" x14ac:dyDescent="0.35">
      <c r="B49" s="50"/>
      <c r="C49" s="50"/>
    </row>
    <row r="50" spans="2:3" x14ac:dyDescent="0.35">
      <c r="B50" s="50"/>
      <c r="C50" s="50"/>
    </row>
    <row r="51" spans="2:3" x14ac:dyDescent="0.35">
      <c r="B51" s="50"/>
      <c r="C51" s="50"/>
    </row>
    <row r="52" spans="2:3" x14ac:dyDescent="0.35">
      <c r="B52" s="50"/>
      <c r="C52" s="50"/>
    </row>
    <row r="53" spans="2:3" x14ac:dyDescent="0.35">
      <c r="B53" s="50"/>
      <c r="C53" s="50"/>
    </row>
    <row r="54" spans="2:3" x14ac:dyDescent="0.35">
      <c r="B54" s="50"/>
      <c r="C54" s="50"/>
    </row>
    <row r="55" spans="2:3" x14ac:dyDescent="0.35">
      <c r="B55" s="50"/>
      <c r="C55" s="50"/>
    </row>
    <row r="56" spans="2:3" x14ac:dyDescent="0.35">
      <c r="B56" s="50"/>
      <c r="C56" s="50"/>
    </row>
    <row r="57" spans="2:3" x14ac:dyDescent="0.35">
      <c r="B57" s="50"/>
      <c r="C57" s="50"/>
    </row>
    <row r="58" spans="2:3" x14ac:dyDescent="0.35">
      <c r="B58" s="50"/>
      <c r="C58" s="50"/>
    </row>
    <row r="59" spans="2:3" x14ac:dyDescent="0.35">
      <c r="B59" s="50"/>
      <c r="C59" s="50"/>
    </row>
    <row r="60" spans="2:3" x14ac:dyDescent="0.35">
      <c r="B60" s="50"/>
      <c r="C60" s="50"/>
    </row>
    <row r="61" spans="2:3" x14ac:dyDescent="0.35">
      <c r="B61" s="50"/>
      <c r="C61" s="50"/>
    </row>
    <row r="62" spans="2:3" x14ac:dyDescent="0.35">
      <c r="B62" s="50"/>
      <c r="C62" s="50"/>
    </row>
    <row r="63" spans="2:3" x14ac:dyDescent="0.35">
      <c r="B63" s="50"/>
      <c r="C63" s="50"/>
    </row>
    <row r="64" spans="2:3" x14ac:dyDescent="0.35">
      <c r="B64" s="50"/>
      <c r="C64" s="50"/>
    </row>
    <row r="65" spans="2:3" x14ac:dyDescent="0.35">
      <c r="B65" s="50"/>
      <c r="C65" s="50"/>
    </row>
    <row r="66" spans="2:3" x14ac:dyDescent="0.35">
      <c r="B66" s="50"/>
      <c r="C66" s="50"/>
    </row>
    <row r="67" spans="2:3" x14ac:dyDescent="0.35">
      <c r="B67" s="50"/>
      <c r="C67" s="50"/>
    </row>
    <row r="68" spans="2:3" x14ac:dyDescent="0.35">
      <c r="B68" s="50"/>
      <c r="C68" s="50"/>
    </row>
    <row r="69" spans="2:3" x14ac:dyDescent="0.35">
      <c r="B69" s="50"/>
      <c r="C69" s="50"/>
    </row>
    <row r="70" spans="2:3" x14ac:dyDescent="0.35">
      <c r="B70" s="50"/>
      <c r="C70" s="50"/>
    </row>
    <row r="71" spans="2:3" x14ac:dyDescent="0.35">
      <c r="B71" s="50"/>
      <c r="C71" s="50"/>
    </row>
    <row r="72" spans="2:3" x14ac:dyDescent="0.35">
      <c r="B72" s="50"/>
      <c r="C72" s="50"/>
    </row>
    <row r="73" spans="2:3" x14ac:dyDescent="0.35">
      <c r="B73" s="50"/>
      <c r="C73" s="50"/>
    </row>
    <row r="74" spans="2:3" x14ac:dyDescent="0.35">
      <c r="B74" s="50"/>
      <c r="C74" s="50"/>
    </row>
    <row r="75" spans="2:3" x14ac:dyDescent="0.35">
      <c r="B75" s="50"/>
      <c r="C75" s="50"/>
    </row>
    <row r="76" spans="2:3" x14ac:dyDescent="0.35">
      <c r="B76" s="50"/>
      <c r="C76" s="50"/>
    </row>
    <row r="77" spans="2:3" x14ac:dyDescent="0.35">
      <c r="B77" s="50"/>
      <c r="C77" s="50"/>
    </row>
    <row r="78" spans="2:3" x14ac:dyDescent="0.35">
      <c r="B78" s="50"/>
      <c r="C78" s="50"/>
    </row>
    <row r="79" spans="2:3" x14ac:dyDescent="0.35">
      <c r="B79" s="50"/>
      <c r="C79" s="50"/>
    </row>
    <row r="80" spans="2:3" x14ac:dyDescent="0.35">
      <c r="B80" s="50"/>
      <c r="C80" s="50"/>
    </row>
    <row r="81" spans="2:3" x14ac:dyDescent="0.35">
      <c r="B81" s="50"/>
      <c r="C81" s="50"/>
    </row>
    <row r="82" spans="2:3" x14ac:dyDescent="0.35">
      <c r="B82" s="50"/>
      <c r="C82" s="50"/>
    </row>
    <row r="83" spans="2:3" x14ac:dyDescent="0.35">
      <c r="B83" s="50"/>
      <c r="C83" s="50"/>
    </row>
    <row r="84" spans="2:3" x14ac:dyDescent="0.35">
      <c r="B84" s="50"/>
      <c r="C84" s="50"/>
    </row>
    <row r="85" spans="2:3" x14ac:dyDescent="0.35">
      <c r="B85" s="50"/>
      <c r="C85" s="50"/>
    </row>
    <row r="86" spans="2:3" x14ac:dyDescent="0.35">
      <c r="B86" s="50"/>
      <c r="C86" s="50"/>
    </row>
    <row r="87" spans="2:3" x14ac:dyDescent="0.35">
      <c r="B87" s="50"/>
      <c r="C87" s="50"/>
    </row>
    <row r="88" spans="2:3" x14ac:dyDescent="0.35">
      <c r="B88" s="50"/>
      <c r="C88" s="50"/>
    </row>
    <row r="89" spans="2:3" x14ac:dyDescent="0.35">
      <c r="B89" s="50"/>
      <c r="C89" s="50"/>
    </row>
    <row r="90" spans="2:3" x14ac:dyDescent="0.35">
      <c r="B90" s="50"/>
      <c r="C90" s="50"/>
    </row>
    <row r="91" spans="2:3" x14ac:dyDescent="0.35">
      <c r="B91" s="50"/>
      <c r="C91" s="50"/>
    </row>
    <row r="92" spans="2:3" x14ac:dyDescent="0.35">
      <c r="B92" s="50"/>
      <c r="C92" s="50"/>
    </row>
    <row r="93" spans="2:3" x14ac:dyDescent="0.35">
      <c r="B93" s="50"/>
      <c r="C93" s="50"/>
    </row>
    <row r="94" spans="2:3" x14ac:dyDescent="0.35">
      <c r="B94" s="50"/>
      <c r="C94" s="50"/>
    </row>
    <row r="95" spans="2:3" x14ac:dyDescent="0.35">
      <c r="B95" s="50"/>
      <c r="C95" s="50"/>
    </row>
    <row r="96" spans="2:3" x14ac:dyDescent="0.35">
      <c r="B96" s="50"/>
      <c r="C96" s="50"/>
    </row>
    <row r="97" spans="2:3" x14ac:dyDescent="0.35">
      <c r="B97" s="50"/>
      <c r="C97" s="50"/>
    </row>
    <row r="98" spans="2:3" x14ac:dyDescent="0.35">
      <c r="B98" s="50"/>
      <c r="C98" s="50"/>
    </row>
    <row r="99" spans="2:3" x14ac:dyDescent="0.35">
      <c r="B99" s="50"/>
      <c r="C99" s="50"/>
    </row>
    <row r="100" spans="2:3" x14ac:dyDescent="0.35">
      <c r="B100" s="50"/>
      <c r="C100" s="50"/>
    </row>
    <row r="101" spans="2:3" x14ac:dyDescent="0.35">
      <c r="B101" s="50"/>
      <c r="C101" s="50"/>
    </row>
    <row r="102" spans="2:3" x14ac:dyDescent="0.35">
      <c r="B102" s="50"/>
      <c r="C102" s="50"/>
    </row>
    <row r="103" spans="2:3" x14ac:dyDescent="0.35">
      <c r="B103" s="50"/>
      <c r="C103" s="50"/>
    </row>
    <row r="104" spans="2:3" x14ac:dyDescent="0.35">
      <c r="B104" s="50"/>
      <c r="C104" s="50"/>
    </row>
    <row r="105" spans="2:3" x14ac:dyDescent="0.35">
      <c r="B105" s="50"/>
      <c r="C105" s="50"/>
    </row>
    <row r="106" spans="2:3" x14ac:dyDescent="0.35">
      <c r="B106" s="50"/>
      <c r="C106" s="50"/>
    </row>
    <row r="107" spans="2:3" x14ac:dyDescent="0.35">
      <c r="B107" s="50"/>
      <c r="C107" s="50"/>
    </row>
    <row r="108" spans="2:3" x14ac:dyDescent="0.35">
      <c r="B108" s="50"/>
      <c r="C108" s="50"/>
    </row>
    <row r="109" spans="2:3" x14ac:dyDescent="0.35">
      <c r="B109" s="50"/>
      <c r="C109" s="50"/>
    </row>
    <row r="110" spans="2:3" x14ac:dyDescent="0.35">
      <c r="B110" s="50"/>
      <c r="C110" s="50"/>
    </row>
    <row r="111" spans="2:3" x14ac:dyDescent="0.35">
      <c r="B111" s="50"/>
      <c r="C111" s="50"/>
    </row>
    <row r="112" spans="2:3" x14ac:dyDescent="0.35">
      <c r="B112" s="50"/>
      <c r="C112" s="50"/>
    </row>
    <row r="113" spans="2:3" x14ac:dyDescent="0.35">
      <c r="B113" s="50"/>
      <c r="C113" s="50"/>
    </row>
    <row r="114" spans="2:3" x14ac:dyDescent="0.35">
      <c r="B114" s="50"/>
      <c r="C114" s="50"/>
    </row>
    <row r="115" spans="2:3" x14ac:dyDescent="0.35">
      <c r="B115" s="50"/>
      <c r="C115" s="50"/>
    </row>
    <row r="116" spans="2:3" x14ac:dyDescent="0.35">
      <c r="B116" s="50"/>
      <c r="C116" s="50"/>
    </row>
    <row r="117" spans="2:3" x14ac:dyDescent="0.35">
      <c r="B117" s="50"/>
      <c r="C117" s="50"/>
    </row>
    <row r="118" spans="2:3" x14ac:dyDescent="0.35">
      <c r="B118" s="50"/>
      <c r="C118" s="50"/>
    </row>
    <row r="119" spans="2:3" x14ac:dyDescent="0.35">
      <c r="B119" s="50"/>
      <c r="C119" s="50"/>
    </row>
    <row r="120" spans="2:3" x14ac:dyDescent="0.35">
      <c r="B120" s="50"/>
      <c r="C120" s="50"/>
    </row>
    <row r="121" spans="2:3" x14ac:dyDescent="0.35">
      <c r="B121" s="50"/>
      <c r="C121" s="50"/>
    </row>
    <row r="122" spans="2:3" x14ac:dyDescent="0.35">
      <c r="B122" s="50"/>
      <c r="C122" s="50"/>
    </row>
    <row r="123" spans="2:3" x14ac:dyDescent="0.35">
      <c r="B123" s="50"/>
      <c r="C123" s="50"/>
    </row>
    <row r="124" spans="2:3" x14ac:dyDescent="0.35">
      <c r="B124" s="50"/>
      <c r="C124" s="50"/>
    </row>
    <row r="125" spans="2:3" x14ac:dyDescent="0.35">
      <c r="B125" s="50"/>
      <c r="C125" s="50"/>
    </row>
    <row r="126" spans="2:3" x14ac:dyDescent="0.35">
      <c r="B126" s="50"/>
      <c r="C126" s="50"/>
    </row>
    <row r="127" spans="2:3" x14ac:dyDescent="0.35">
      <c r="B127" s="50"/>
      <c r="C127" s="50"/>
    </row>
    <row r="128" spans="2:3" x14ac:dyDescent="0.35">
      <c r="B128" s="50"/>
      <c r="C128" s="50"/>
    </row>
    <row r="129" spans="2:3" x14ac:dyDescent="0.35">
      <c r="B129" s="50"/>
      <c r="C129" s="50"/>
    </row>
    <row r="130" spans="2:3" x14ac:dyDescent="0.35">
      <c r="B130" s="50"/>
      <c r="C130" s="50"/>
    </row>
    <row r="131" spans="2:3" x14ac:dyDescent="0.35">
      <c r="B131" s="50"/>
      <c r="C131" s="50"/>
    </row>
    <row r="132" spans="2:3" x14ac:dyDescent="0.35">
      <c r="B132" s="50"/>
      <c r="C132" s="50"/>
    </row>
    <row r="133" spans="2:3" x14ac:dyDescent="0.35">
      <c r="B133" s="50"/>
      <c r="C133" s="50"/>
    </row>
    <row r="134" spans="2:3" x14ac:dyDescent="0.35">
      <c r="B134" s="50"/>
      <c r="C134" s="50"/>
    </row>
    <row r="135" spans="2:3" x14ac:dyDescent="0.35">
      <c r="B135" s="50"/>
      <c r="C135" s="50"/>
    </row>
    <row r="136" spans="2:3" x14ac:dyDescent="0.35">
      <c r="B136" s="50"/>
      <c r="C136" s="50"/>
    </row>
    <row r="137" spans="2:3" x14ac:dyDescent="0.35">
      <c r="B137" s="50"/>
      <c r="C137" s="50"/>
    </row>
    <row r="138" spans="2:3" x14ac:dyDescent="0.35">
      <c r="B138" s="50"/>
      <c r="C138" s="50"/>
    </row>
    <row r="139" spans="2:3" x14ac:dyDescent="0.35">
      <c r="B139" s="50"/>
      <c r="C139" s="50"/>
    </row>
    <row r="140" spans="2:3" x14ac:dyDescent="0.35">
      <c r="B140" s="50"/>
      <c r="C140" s="50"/>
    </row>
    <row r="141" spans="2:3" x14ac:dyDescent="0.35">
      <c r="B141" s="50"/>
      <c r="C141" s="50"/>
    </row>
    <row r="142" spans="2:3" x14ac:dyDescent="0.35">
      <c r="B142" s="50"/>
      <c r="C142" s="50"/>
    </row>
    <row r="143" spans="2:3" x14ac:dyDescent="0.35">
      <c r="B143" s="50"/>
      <c r="C143" s="50"/>
    </row>
    <row r="144" spans="2:3" x14ac:dyDescent="0.35">
      <c r="B144" s="50"/>
      <c r="C144" s="50"/>
    </row>
    <row r="145" spans="2:3" x14ac:dyDescent="0.35">
      <c r="B145" s="50"/>
      <c r="C145" s="50"/>
    </row>
    <row r="146" spans="2:3" x14ac:dyDescent="0.35">
      <c r="B146" s="50"/>
      <c r="C146" s="50"/>
    </row>
    <row r="147" spans="2:3" x14ac:dyDescent="0.35">
      <c r="B147" s="50"/>
      <c r="C147" s="50"/>
    </row>
    <row r="148" spans="2:3" x14ac:dyDescent="0.35">
      <c r="B148" s="50"/>
      <c r="C148" s="50"/>
    </row>
    <row r="149" spans="2:3" x14ac:dyDescent="0.35">
      <c r="B149" s="50"/>
      <c r="C149" s="50"/>
    </row>
    <row r="150" spans="2:3" x14ac:dyDescent="0.35">
      <c r="B150" s="50"/>
      <c r="C150" s="50"/>
    </row>
    <row r="151" spans="2:3" x14ac:dyDescent="0.35">
      <c r="B151" s="50"/>
      <c r="C151" s="50"/>
    </row>
    <row r="152" spans="2:3" x14ac:dyDescent="0.35">
      <c r="B152" s="50"/>
      <c r="C152" s="50"/>
    </row>
    <row r="153" spans="2:3" x14ac:dyDescent="0.35">
      <c r="B153" s="50"/>
      <c r="C153" s="50"/>
    </row>
    <row r="154" spans="2:3" x14ac:dyDescent="0.35">
      <c r="B154" s="50"/>
      <c r="C154" s="50"/>
    </row>
    <row r="155" spans="2:3" x14ac:dyDescent="0.35">
      <c r="B155" s="50"/>
      <c r="C155" s="50"/>
    </row>
    <row r="156" spans="2:3" x14ac:dyDescent="0.35">
      <c r="B156" s="50"/>
      <c r="C156" s="50"/>
    </row>
    <row r="157" spans="2:3" x14ac:dyDescent="0.35">
      <c r="B157" s="50"/>
      <c r="C157" s="50"/>
    </row>
    <row r="158" spans="2:3" x14ac:dyDescent="0.35">
      <c r="B158" s="50"/>
      <c r="C158" s="50"/>
    </row>
    <row r="159" spans="2:3" x14ac:dyDescent="0.35">
      <c r="B159" s="50"/>
      <c r="C159" s="50"/>
    </row>
    <row r="160" spans="2:3" x14ac:dyDescent="0.35">
      <c r="B160" s="50"/>
      <c r="C160" s="50"/>
    </row>
    <row r="161" spans="2:3" x14ac:dyDescent="0.35">
      <c r="B161" s="50"/>
      <c r="C161" s="50"/>
    </row>
    <row r="162" spans="2:3" x14ac:dyDescent="0.35">
      <c r="B162" s="50"/>
      <c r="C162" s="50"/>
    </row>
    <row r="163" spans="2:3" x14ac:dyDescent="0.35">
      <c r="B163" s="50"/>
      <c r="C163" s="50"/>
    </row>
    <row r="164" spans="2:3" x14ac:dyDescent="0.35">
      <c r="B164" s="50"/>
      <c r="C164" s="50"/>
    </row>
    <row r="165" spans="2:3" x14ac:dyDescent="0.35">
      <c r="B165" s="50"/>
      <c r="C165" s="50"/>
    </row>
    <row r="166" spans="2:3" x14ac:dyDescent="0.35">
      <c r="B166" s="50"/>
      <c r="C166" s="50"/>
    </row>
    <row r="167" spans="2:3" x14ac:dyDescent="0.35">
      <c r="B167" s="50"/>
      <c r="C167" s="50"/>
    </row>
    <row r="168" spans="2:3" x14ac:dyDescent="0.35">
      <c r="B168" s="50"/>
      <c r="C168" s="50"/>
    </row>
    <row r="169" spans="2:3" x14ac:dyDescent="0.35">
      <c r="B169" s="50"/>
      <c r="C169" s="50"/>
    </row>
    <row r="170" spans="2:3" x14ac:dyDescent="0.35">
      <c r="B170" s="50"/>
      <c r="C170" s="50"/>
    </row>
    <row r="171" spans="2:3" x14ac:dyDescent="0.35">
      <c r="B171" s="50"/>
      <c r="C171" s="50"/>
    </row>
    <row r="172" spans="2:3" x14ac:dyDescent="0.35">
      <c r="B172" s="50"/>
      <c r="C172" s="50"/>
    </row>
    <row r="173" spans="2:3" x14ac:dyDescent="0.35">
      <c r="B173" s="50"/>
      <c r="C173" s="50"/>
    </row>
    <row r="174" spans="2:3" x14ac:dyDescent="0.35">
      <c r="B174" s="50"/>
      <c r="C174" s="50"/>
    </row>
    <row r="175" spans="2:3" x14ac:dyDescent="0.35">
      <c r="B175" s="50"/>
      <c r="C175" s="50"/>
    </row>
    <row r="176" spans="2:3" x14ac:dyDescent="0.35">
      <c r="B176" s="50"/>
      <c r="C176" s="50"/>
    </row>
    <row r="177" spans="2:3" x14ac:dyDescent="0.35">
      <c r="B177" s="50"/>
      <c r="C177" s="50"/>
    </row>
    <row r="178" spans="2:3" x14ac:dyDescent="0.35">
      <c r="B178" s="50"/>
      <c r="C178" s="50"/>
    </row>
    <row r="179" spans="2:3" x14ac:dyDescent="0.35">
      <c r="B179" s="50"/>
      <c r="C179" s="50"/>
    </row>
    <row r="180" spans="2:3" x14ac:dyDescent="0.35">
      <c r="B180" s="50"/>
      <c r="C180" s="50"/>
    </row>
    <row r="181" spans="2:3" x14ac:dyDescent="0.35">
      <c r="B181" s="50"/>
      <c r="C181" s="50"/>
    </row>
    <row r="182" spans="2:3" x14ac:dyDescent="0.35">
      <c r="B182" s="50"/>
      <c r="C182" s="50"/>
    </row>
    <row r="183" spans="2:3" x14ac:dyDescent="0.35">
      <c r="B183" s="50"/>
      <c r="C183" s="50"/>
    </row>
    <row r="184" spans="2:3" x14ac:dyDescent="0.35">
      <c r="B184" s="50"/>
      <c r="C184" s="50"/>
    </row>
    <row r="185" spans="2:3" x14ac:dyDescent="0.35">
      <c r="B185" s="50"/>
      <c r="C185" s="50"/>
    </row>
    <row r="186" spans="2:3" x14ac:dyDescent="0.35">
      <c r="B186" s="50"/>
      <c r="C186" s="50"/>
    </row>
    <row r="187" spans="2:3" x14ac:dyDescent="0.35">
      <c r="B187" s="50"/>
      <c r="C187" s="50"/>
    </row>
    <row r="188" spans="2:3" x14ac:dyDescent="0.35">
      <c r="B188" s="50"/>
      <c r="C188" s="50"/>
    </row>
    <row r="189" spans="2:3" x14ac:dyDescent="0.35">
      <c r="B189" s="50"/>
      <c r="C189" s="50"/>
    </row>
    <row r="190" spans="2:3" x14ac:dyDescent="0.35">
      <c r="B190" s="50"/>
      <c r="C190" s="50"/>
    </row>
    <row r="191" spans="2:3" x14ac:dyDescent="0.35">
      <c r="B191" s="50"/>
      <c r="C191" s="50"/>
    </row>
    <row r="192" spans="2:3" x14ac:dyDescent="0.35">
      <c r="B192" s="50"/>
      <c r="C192" s="50"/>
    </row>
    <row r="193" spans="2:3" x14ac:dyDescent="0.35">
      <c r="B193" s="50"/>
      <c r="C193" s="50"/>
    </row>
    <row r="194" spans="2:3" x14ac:dyDescent="0.35">
      <c r="B194" s="50"/>
      <c r="C194" s="50"/>
    </row>
    <row r="195" spans="2:3" x14ac:dyDescent="0.35">
      <c r="B195" s="50"/>
      <c r="C195" s="50"/>
    </row>
    <row r="196" spans="2:3" x14ac:dyDescent="0.35">
      <c r="B196" s="50"/>
      <c r="C196" s="50"/>
    </row>
    <row r="197" spans="2:3" x14ac:dyDescent="0.35">
      <c r="B197" s="50"/>
      <c r="C197" s="50"/>
    </row>
    <row r="198" spans="2:3" x14ac:dyDescent="0.35">
      <c r="B198" s="50"/>
      <c r="C198" s="50"/>
    </row>
    <row r="199" spans="2:3" x14ac:dyDescent="0.35">
      <c r="B199" s="50"/>
      <c r="C199" s="50"/>
    </row>
    <row r="200" spans="2:3" x14ac:dyDescent="0.35">
      <c r="B200" s="50"/>
      <c r="C200" s="50"/>
    </row>
    <row r="201" spans="2:3" x14ac:dyDescent="0.35">
      <c r="B201" s="50"/>
      <c r="C201" s="50"/>
    </row>
    <row r="202" spans="2:3" x14ac:dyDescent="0.35">
      <c r="B202" s="50"/>
      <c r="C202" s="50"/>
    </row>
    <row r="203" spans="2:3" x14ac:dyDescent="0.35">
      <c r="B203" s="50"/>
      <c r="C203" s="50"/>
    </row>
    <row r="204" spans="2:3" x14ac:dyDescent="0.35">
      <c r="B204" s="50"/>
      <c r="C204" s="50"/>
    </row>
    <row r="205" spans="2:3" x14ac:dyDescent="0.35">
      <c r="B205" s="50"/>
      <c r="C205" s="50"/>
    </row>
    <row r="206" spans="2:3" x14ac:dyDescent="0.35">
      <c r="B206" s="50"/>
      <c r="C206" s="50"/>
    </row>
    <row r="207" spans="2:3" x14ac:dyDescent="0.35">
      <c r="B207" s="50"/>
      <c r="C207" s="50"/>
    </row>
    <row r="208" spans="2:3" x14ac:dyDescent="0.35">
      <c r="B208" s="50"/>
      <c r="C208" s="50"/>
    </row>
    <row r="209" spans="2:3" x14ac:dyDescent="0.35">
      <c r="B209" s="50"/>
      <c r="C209" s="50"/>
    </row>
    <row r="210" spans="2:3" x14ac:dyDescent="0.35">
      <c r="B210" s="50"/>
      <c r="C210" s="50"/>
    </row>
    <row r="211" spans="2:3" x14ac:dyDescent="0.35">
      <c r="B211" s="50"/>
      <c r="C211" s="50"/>
    </row>
    <row r="212" spans="2:3" x14ac:dyDescent="0.35">
      <c r="B212" s="50"/>
      <c r="C212" s="50"/>
    </row>
    <row r="213" spans="2:3" x14ac:dyDescent="0.35">
      <c r="B213" s="50"/>
      <c r="C213" s="50"/>
    </row>
    <row r="214" spans="2:3" x14ac:dyDescent="0.35">
      <c r="B214" s="50"/>
      <c r="C214" s="50"/>
    </row>
    <row r="215" spans="2:3" x14ac:dyDescent="0.35">
      <c r="B215" s="50"/>
      <c r="C215" s="50"/>
    </row>
    <row r="216" spans="2:3" x14ac:dyDescent="0.35">
      <c r="B216" s="50"/>
      <c r="C216" s="50"/>
    </row>
    <row r="217" spans="2:3" x14ac:dyDescent="0.35">
      <c r="B217" s="50"/>
      <c r="C217" s="50"/>
    </row>
    <row r="218" spans="2:3" x14ac:dyDescent="0.35">
      <c r="B218" s="50"/>
      <c r="C218" s="50"/>
    </row>
    <row r="219" spans="2:3" x14ac:dyDescent="0.35">
      <c r="B219" s="50"/>
      <c r="C219" s="50"/>
    </row>
    <row r="220" spans="2:3" x14ac:dyDescent="0.35">
      <c r="B220" s="50"/>
      <c r="C220" s="50"/>
    </row>
    <row r="221" spans="2:3" x14ac:dyDescent="0.35">
      <c r="B221" s="50"/>
      <c r="C221" s="50"/>
    </row>
    <row r="222" spans="2:3" x14ac:dyDescent="0.35">
      <c r="B222" s="50"/>
      <c r="C222" s="50"/>
    </row>
    <row r="223" spans="2:3" x14ac:dyDescent="0.35">
      <c r="B223" s="50"/>
      <c r="C223" s="50"/>
    </row>
    <row r="224" spans="2:3" x14ac:dyDescent="0.35">
      <c r="B224" s="50"/>
      <c r="C224" s="50"/>
    </row>
    <row r="225" spans="2:3" x14ac:dyDescent="0.35">
      <c r="B225" s="50"/>
      <c r="C225" s="50"/>
    </row>
    <row r="226" spans="2:3" x14ac:dyDescent="0.35">
      <c r="B226" s="50"/>
      <c r="C226" s="50"/>
    </row>
    <row r="227" spans="2:3" x14ac:dyDescent="0.35">
      <c r="B227" s="50"/>
      <c r="C227" s="50"/>
    </row>
    <row r="228" spans="2:3" x14ac:dyDescent="0.35">
      <c r="B228" s="50"/>
      <c r="C228" s="50"/>
    </row>
    <row r="229" spans="2:3" x14ac:dyDescent="0.35">
      <c r="B229" s="50"/>
      <c r="C229" s="50"/>
    </row>
    <row r="230" spans="2:3" x14ac:dyDescent="0.35">
      <c r="B230" s="50"/>
      <c r="C230" s="50"/>
    </row>
    <row r="231" spans="2:3" x14ac:dyDescent="0.35">
      <c r="B231" s="50"/>
      <c r="C231" s="50"/>
    </row>
    <row r="232" spans="2:3" x14ac:dyDescent="0.35">
      <c r="B232" s="50"/>
      <c r="C232" s="50"/>
    </row>
    <row r="233" spans="2:3" x14ac:dyDescent="0.35">
      <c r="B233" s="50"/>
      <c r="C233" s="50"/>
    </row>
    <row r="234" spans="2:3" x14ac:dyDescent="0.35">
      <c r="B234" s="50"/>
      <c r="C234" s="50"/>
    </row>
    <row r="235" spans="2:3" x14ac:dyDescent="0.35">
      <c r="B235" s="50"/>
      <c r="C235" s="50"/>
    </row>
    <row r="236" spans="2:3" x14ac:dyDescent="0.35">
      <c r="B236" s="50"/>
      <c r="C236" s="50"/>
    </row>
    <row r="237" spans="2:3" x14ac:dyDescent="0.35">
      <c r="B237" s="50"/>
      <c r="C237" s="50"/>
    </row>
    <row r="238" spans="2:3" x14ac:dyDescent="0.35">
      <c r="B238" s="50"/>
      <c r="C238" s="50"/>
    </row>
    <row r="239" spans="2:3" x14ac:dyDescent="0.35">
      <c r="B239" s="50"/>
      <c r="C239" s="50"/>
    </row>
    <row r="240" spans="2:3" x14ac:dyDescent="0.35">
      <c r="B240" s="50"/>
      <c r="C240" s="50"/>
    </row>
    <row r="241" spans="2:3" x14ac:dyDescent="0.35">
      <c r="B241" s="50"/>
      <c r="C241" s="50"/>
    </row>
    <row r="242" spans="2:3" x14ac:dyDescent="0.35">
      <c r="B242" s="50"/>
      <c r="C242" s="50"/>
    </row>
    <row r="243" spans="2:3" x14ac:dyDescent="0.35">
      <c r="B243" s="50"/>
      <c r="C243" s="50"/>
    </row>
    <row r="244" spans="2:3" x14ac:dyDescent="0.35">
      <c r="B244" s="50"/>
      <c r="C244" s="50"/>
    </row>
    <row r="245" spans="2:3" x14ac:dyDescent="0.35">
      <c r="B245" s="50"/>
      <c r="C245" s="50"/>
    </row>
    <row r="246" spans="2:3" x14ac:dyDescent="0.35">
      <c r="B246" s="50"/>
      <c r="C246" s="50"/>
    </row>
    <row r="247" spans="2:3" x14ac:dyDescent="0.35">
      <c r="B247" s="50"/>
      <c r="C247" s="50"/>
    </row>
    <row r="248" spans="2:3" x14ac:dyDescent="0.35">
      <c r="B248" s="50"/>
      <c r="C248" s="50"/>
    </row>
    <row r="249" spans="2:3" x14ac:dyDescent="0.35">
      <c r="B249" s="50"/>
      <c r="C249" s="50"/>
    </row>
    <row r="250" spans="2:3" x14ac:dyDescent="0.35">
      <c r="B250" s="50"/>
      <c r="C250" s="50"/>
    </row>
    <row r="251" spans="2:3" x14ac:dyDescent="0.35">
      <c r="B251" s="50"/>
      <c r="C251" s="50"/>
    </row>
    <row r="252" spans="2:3" x14ac:dyDescent="0.35">
      <c r="B252" s="50"/>
      <c r="C252" s="50"/>
    </row>
    <row r="253" spans="2:3" x14ac:dyDescent="0.35">
      <c r="B253" s="50"/>
      <c r="C253" s="50"/>
    </row>
    <row r="254" spans="2:3" x14ac:dyDescent="0.35">
      <c r="B254" s="50"/>
      <c r="C254" s="50"/>
    </row>
    <row r="255" spans="2:3" x14ac:dyDescent="0.35">
      <c r="B255" s="50"/>
      <c r="C255" s="50"/>
    </row>
    <row r="256" spans="2:3" x14ac:dyDescent="0.35">
      <c r="B256" s="50"/>
      <c r="C256" s="50"/>
    </row>
    <row r="257" spans="2:3" x14ac:dyDescent="0.35">
      <c r="B257" s="50"/>
      <c r="C257" s="50"/>
    </row>
    <row r="258" spans="2:3" x14ac:dyDescent="0.35">
      <c r="B258" s="50"/>
      <c r="C258" s="50"/>
    </row>
    <row r="259" spans="2:3" x14ac:dyDescent="0.35">
      <c r="B259" s="50"/>
      <c r="C259" s="50"/>
    </row>
    <row r="260" spans="2:3" x14ac:dyDescent="0.35">
      <c r="B260" s="50"/>
      <c r="C260" s="50"/>
    </row>
    <row r="261" spans="2:3" x14ac:dyDescent="0.35">
      <c r="B261" s="50"/>
      <c r="C261" s="50"/>
    </row>
    <row r="262" spans="2:3" x14ac:dyDescent="0.35">
      <c r="B262" s="50"/>
      <c r="C262" s="50"/>
    </row>
    <row r="263" spans="2:3" x14ac:dyDescent="0.35">
      <c r="B263" s="50"/>
      <c r="C263" s="50"/>
    </row>
    <row r="264" spans="2:3" x14ac:dyDescent="0.35">
      <c r="B264" s="50"/>
      <c r="C264" s="50"/>
    </row>
    <row r="265" spans="2:3" x14ac:dyDescent="0.35">
      <c r="B265" s="50"/>
      <c r="C265" s="50"/>
    </row>
    <row r="266" spans="2:3" x14ac:dyDescent="0.35">
      <c r="B266" s="50"/>
      <c r="C266" s="50"/>
    </row>
    <row r="267" spans="2:3" x14ac:dyDescent="0.35">
      <c r="B267" s="50"/>
      <c r="C267" s="50"/>
    </row>
    <row r="268" spans="2:3" x14ac:dyDescent="0.35">
      <c r="B268" s="50"/>
      <c r="C268" s="50"/>
    </row>
    <row r="269" spans="2:3" x14ac:dyDescent="0.35">
      <c r="B269" s="50"/>
      <c r="C269" s="50"/>
    </row>
    <row r="270" spans="2:3" x14ac:dyDescent="0.35">
      <c r="B270" s="50"/>
      <c r="C270" s="50"/>
    </row>
    <row r="271" spans="2:3" x14ac:dyDescent="0.35">
      <c r="B271" s="50"/>
      <c r="C271" s="50"/>
    </row>
    <row r="272" spans="2:3" x14ac:dyDescent="0.35">
      <c r="B272" s="50"/>
      <c r="C272" s="50"/>
    </row>
    <row r="273" spans="2:3" x14ac:dyDescent="0.35">
      <c r="B273" s="50"/>
      <c r="C273" s="50"/>
    </row>
    <row r="274" spans="2:3" x14ac:dyDescent="0.35">
      <c r="B274" s="50"/>
      <c r="C274" s="50"/>
    </row>
    <row r="275" spans="2:3" x14ac:dyDescent="0.35">
      <c r="B275" s="50"/>
      <c r="C275" s="50"/>
    </row>
    <row r="276" spans="2:3" x14ac:dyDescent="0.35">
      <c r="B276" s="50"/>
      <c r="C276" s="50"/>
    </row>
    <row r="277" spans="2:3" x14ac:dyDescent="0.35">
      <c r="B277" s="50"/>
      <c r="C277" s="50"/>
    </row>
    <row r="278" spans="2:3" x14ac:dyDescent="0.35">
      <c r="B278" s="50"/>
      <c r="C278" s="50"/>
    </row>
    <row r="279" spans="2:3" x14ac:dyDescent="0.35">
      <c r="B279" s="50"/>
      <c r="C279" s="50"/>
    </row>
    <row r="280" spans="2:3" x14ac:dyDescent="0.35">
      <c r="B280" s="50"/>
      <c r="C280" s="50"/>
    </row>
    <row r="281" spans="2:3" x14ac:dyDescent="0.35">
      <c r="B281" s="50"/>
      <c r="C281" s="50"/>
    </row>
    <row r="282" spans="2:3" x14ac:dyDescent="0.35">
      <c r="B282" s="50"/>
      <c r="C282" s="50"/>
    </row>
    <row r="283" spans="2:3" x14ac:dyDescent="0.35">
      <c r="B283" s="50"/>
      <c r="C283" s="50"/>
    </row>
    <row r="284" spans="2:3" x14ac:dyDescent="0.35">
      <c r="B284" s="50"/>
      <c r="C284" s="50"/>
    </row>
    <row r="285" spans="2:3" x14ac:dyDescent="0.35">
      <c r="B285" s="50"/>
      <c r="C285" s="50"/>
    </row>
    <row r="286" spans="2:3" x14ac:dyDescent="0.35">
      <c r="B286" s="50"/>
      <c r="C286" s="50"/>
    </row>
    <row r="287" spans="2:3" x14ac:dyDescent="0.35">
      <c r="B287" s="50"/>
      <c r="C287" s="50"/>
    </row>
    <row r="288" spans="2:3" x14ac:dyDescent="0.35">
      <c r="B288" s="50"/>
      <c r="C288" s="50"/>
    </row>
    <row r="289" spans="2:3" x14ac:dyDescent="0.35">
      <c r="B289" s="50"/>
      <c r="C289" s="50"/>
    </row>
    <row r="290" spans="2:3" x14ac:dyDescent="0.35">
      <c r="B290" s="50"/>
      <c r="C290" s="50"/>
    </row>
    <row r="291" spans="2:3" x14ac:dyDescent="0.35">
      <c r="B291" s="50"/>
      <c r="C291" s="50"/>
    </row>
    <row r="292" spans="2:3" x14ac:dyDescent="0.35">
      <c r="B292" s="50"/>
      <c r="C292" s="50"/>
    </row>
    <row r="293" spans="2:3" x14ac:dyDescent="0.35">
      <c r="B293" s="50"/>
      <c r="C293" s="50"/>
    </row>
    <row r="294" spans="2:3" x14ac:dyDescent="0.35">
      <c r="B294" s="50"/>
      <c r="C294" s="50"/>
    </row>
    <row r="295" spans="2:3" x14ac:dyDescent="0.35">
      <c r="B295" s="50"/>
      <c r="C295" s="50"/>
    </row>
    <row r="296" spans="2:3" x14ac:dyDescent="0.35">
      <c r="B296" s="50"/>
      <c r="C296" s="50"/>
    </row>
    <row r="297" spans="2:3" x14ac:dyDescent="0.35">
      <c r="B297" s="50"/>
      <c r="C297" s="50"/>
    </row>
    <row r="298" spans="2:3" x14ac:dyDescent="0.35">
      <c r="B298" s="50"/>
      <c r="C298" s="50"/>
    </row>
    <row r="299" spans="2:3" x14ac:dyDescent="0.35">
      <c r="B299" s="50"/>
      <c r="C299" s="50"/>
    </row>
    <row r="300" spans="2:3" x14ac:dyDescent="0.35">
      <c r="B300" s="50"/>
      <c r="C300" s="50"/>
    </row>
    <row r="301" spans="2:3" x14ac:dyDescent="0.35">
      <c r="B301" s="50"/>
      <c r="C301" s="50"/>
    </row>
    <row r="302" spans="2:3" x14ac:dyDescent="0.35">
      <c r="B302" s="50"/>
      <c r="C302" s="50"/>
    </row>
    <row r="303" spans="2:3" x14ac:dyDescent="0.35">
      <c r="B303" s="50"/>
      <c r="C303" s="50"/>
    </row>
    <row r="304" spans="2:3" x14ac:dyDescent="0.35">
      <c r="B304" s="50"/>
      <c r="C304" s="50"/>
    </row>
    <row r="305" spans="2:3" x14ac:dyDescent="0.35">
      <c r="B305" s="50"/>
      <c r="C305" s="50"/>
    </row>
    <row r="306" spans="2:3" x14ac:dyDescent="0.35">
      <c r="B306" s="50"/>
      <c r="C306" s="50"/>
    </row>
    <row r="307" spans="2:3" x14ac:dyDescent="0.35">
      <c r="B307" s="50"/>
      <c r="C307" s="5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8"/>
  <sheetViews>
    <sheetView workbookViewId="0">
      <selection activeCell="J316" sqref="J316"/>
    </sheetView>
  </sheetViews>
  <sheetFormatPr defaultRowHeight="14.5" x14ac:dyDescent="0.35"/>
  <cols>
    <col min="2" max="2" width="11.26953125" customWidth="1"/>
    <col min="3" max="3" width="9.81640625" customWidth="1"/>
    <col min="5" max="5" width="8.81640625" customWidth="1"/>
    <col min="6" max="6" width="11.453125" customWidth="1"/>
    <col min="7" max="7" width="10" customWidth="1"/>
    <col min="8" max="8" width="13.1796875" customWidth="1"/>
    <col min="9" max="9" width="9.81640625" customWidth="1"/>
    <col min="11" max="11" width="12.7265625" customWidth="1"/>
    <col min="13" max="13" width="12.453125" customWidth="1"/>
    <col min="14" max="14" width="15.453125" customWidth="1"/>
    <col min="15" max="15" width="14" customWidth="1"/>
    <col min="16" max="16" width="10.1796875" customWidth="1"/>
    <col min="25" max="35" width="9.179687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59</v>
      </c>
      <c r="M1" t="s">
        <v>11</v>
      </c>
      <c r="N1" t="s">
        <v>12</v>
      </c>
      <c r="O1" t="s">
        <v>13</v>
      </c>
      <c r="P1" t="s">
        <v>37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35">
      <c r="A2">
        <v>2</v>
      </c>
      <c r="B2" s="50">
        <v>0</v>
      </c>
      <c r="C2" s="50">
        <v>0</v>
      </c>
      <c r="D2" t="s">
        <v>58</v>
      </c>
      <c r="E2" t="s">
        <v>56</v>
      </c>
      <c r="F2">
        <v>25748.424999999999</v>
      </c>
      <c r="G2">
        <v>25770.69</v>
      </c>
      <c r="H2">
        <v>55.66</v>
      </c>
      <c r="I2">
        <v>0</v>
      </c>
      <c r="J2">
        <v>0</v>
      </c>
      <c r="L2" t="s">
        <v>57</v>
      </c>
      <c r="N2" t="s">
        <v>126</v>
      </c>
      <c r="O2" t="s">
        <v>127</v>
      </c>
      <c r="P2">
        <v>55.66</v>
      </c>
    </row>
    <row r="3" spans="1:35" hidden="1" x14ac:dyDescent="0.35">
      <c r="A3">
        <v>3</v>
      </c>
      <c r="B3" s="50">
        <v>0</v>
      </c>
      <c r="C3" s="50">
        <v>0</v>
      </c>
      <c r="D3" t="s">
        <v>58</v>
      </c>
      <c r="E3" t="s">
        <v>56</v>
      </c>
      <c r="F3">
        <v>25772.635999999999</v>
      </c>
      <c r="G3">
        <v>25770.69</v>
      </c>
      <c r="H3">
        <v>-1.95</v>
      </c>
      <c r="I3">
        <v>0</v>
      </c>
      <c r="J3">
        <v>0</v>
      </c>
      <c r="L3" t="s">
        <v>60</v>
      </c>
      <c r="N3" t="s">
        <v>128</v>
      </c>
      <c r="O3" t="s">
        <v>127</v>
      </c>
      <c r="P3">
        <v>-1.95</v>
      </c>
    </row>
    <row r="4" spans="1:35" x14ac:dyDescent="0.35">
      <c r="A4">
        <v>4</v>
      </c>
      <c r="B4" s="50">
        <v>0</v>
      </c>
      <c r="C4" s="50">
        <v>0</v>
      </c>
      <c r="D4" t="s">
        <v>58</v>
      </c>
      <c r="E4" t="s">
        <v>56</v>
      </c>
      <c r="F4">
        <v>25755.075000000001</v>
      </c>
      <c r="G4">
        <v>25770.69</v>
      </c>
      <c r="H4">
        <v>15.61</v>
      </c>
      <c r="I4">
        <v>0</v>
      </c>
      <c r="J4">
        <v>0</v>
      </c>
      <c r="L4" t="s">
        <v>57</v>
      </c>
      <c r="N4" t="s">
        <v>129</v>
      </c>
      <c r="O4" t="s">
        <v>127</v>
      </c>
      <c r="P4">
        <v>15.61</v>
      </c>
    </row>
    <row r="5" spans="1:35" x14ac:dyDescent="0.35">
      <c r="A5">
        <v>5</v>
      </c>
      <c r="B5" s="50">
        <v>0</v>
      </c>
      <c r="C5" s="50">
        <v>0</v>
      </c>
      <c r="D5" t="s">
        <v>58</v>
      </c>
      <c r="E5" t="s">
        <v>56</v>
      </c>
      <c r="F5">
        <v>25736.641</v>
      </c>
      <c r="G5">
        <v>25770.69</v>
      </c>
      <c r="H5">
        <v>34.049999999999997</v>
      </c>
      <c r="I5">
        <v>0</v>
      </c>
      <c r="J5">
        <v>0</v>
      </c>
      <c r="L5" t="s">
        <v>57</v>
      </c>
      <c r="N5" t="s">
        <v>130</v>
      </c>
      <c r="O5" t="s">
        <v>127</v>
      </c>
      <c r="P5">
        <v>34.049999999999997</v>
      </c>
    </row>
    <row r="6" spans="1:35" x14ac:dyDescent="0.35">
      <c r="A6">
        <v>6</v>
      </c>
      <c r="B6" s="50">
        <v>0</v>
      </c>
      <c r="C6" s="50">
        <v>0</v>
      </c>
      <c r="D6" t="s">
        <v>58</v>
      </c>
      <c r="E6" t="s">
        <v>56</v>
      </c>
      <c r="F6">
        <v>25761.822</v>
      </c>
      <c r="G6">
        <v>25770.69</v>
      </c>
      <c r="H6">
        <v>8.8699999999999992</v>
      </c>
      <c r="I6">
        <v>0</v>
      </c>
      <c r="J6">
        <v>0</v>
      </c>
      <c r="L6" t="s">
        <v>57</v>
      </c>
      <c r="N6" t="s">
        <v>131</v>
      </c>
      <c r="O6" t="s">
        <v>127</v>
      </c>
      <c r="P6">
        <v>8.8699999999999992</v>
      </c>
    </row>
    <row r="7" spans="1:35" x14ac:dyDescent="0.35">
      <c r="A7">
        <v>7</v>
      </c>
      <c r="B7" s="50">
        <v>0</v>
      </c>
      <c r="C7" s="50">
        <v>0</v>
      </c>
      <c r="D7" t="s">
        <v>58</v>
      </c>
      <c r="E7" t="s">
        <v>56</v>
      </c>
      <c r="F7">
        <v>25761.825000000001</v>
      </c>
      <c r="G7">
        <v>25770.69</v>
      </c>
      <c r="H7">
        <v>8.86</v>
      </c>
      <c r="I7">
        <v>0</v>
      </c>
      <c r="J7">
        <v>0</v>
      </c>
      <c r="L7" t="s">
        <v>57</v>
      </c>
      <c r="N7" t="s">
        <v>131</v>
      </c>
      <c r="O7" t="s">
        <v>127</v>
      </c>
      <c r="P7">
        <v>8.86</v>
      </c>
    </row>
    <row r="8" spans="1:35" hidden="1" x14ac:dyDescent="0.35">
      <c r="A8">
        <v>8</v>
      </c>
      <c r="B8" s="50">
        <v>0</v>
      </c>
      <c r="C8" s="50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L8" t="s">
        <v>60</v>
      </c>
      <c r="N8">
        <v>0</v>
      </c>
      <c r="O8">
        <v>0</v>
      </c>
      <c r="P8">
        <v>0</v>
      </c>
    </row>
    <row r="9" spans="1:35" hidden="1" x14ac:dyDescent="0.35">
      <c r="A9">
        <v>9</v>
      </c>
      <c r="B9" s="50">
        <v>0</v>
      </c>
      <c r="C9" s="50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L9" t="s">
        <v>60</v>
      </c>
      <c r="N9">
        <v>0</v>
      </c>
      <c r="O9">
        <v>0</v>
      </c>
      <c r="P9">
        <v>0</v>
      </c>
    </row>
    <row r="10" spans="1:35" hidden="1" x14ac:dyDescent="0.35">
      <c r="A10">
        <v>10</v>
      </c>
      <c r="B10" s="50">
        <v>0</v>
      </c>
      <c r="C10" s="5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L10" t="s">
        <v>60</v>
      </c>
      <c r="N10">
        <v>0</v>
      </c>
      <c r="O10">
        <v>0</v>
      </c>
      <c r="P10">
        <v>0</v>
      </c>
    </row>
    <row r="11" spans="1:35" hidden="1" x14ac:dyDescent="0.35">
      <c r="A11">
        <v>11</v>
      </c>
      <c r="B11" s="50">
        <v>0</v>
      </c>
      <c r="C11" s="50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 t="s">
        <v>60</v>
      </c>
      <c r="N11">
        <v>0</v>
      </c>
      <c r="O11">
        <v>0</v>
      </c>
      <c r="P11">
        <v>0</v>
      </c>
    </row>
    <row r="12" spans="1:35" hidden="1" x14ac:dyDescent="0.35">
      <c r="A12">
        <v>12</v>
      </c>
      <c r="B12" s="50">
        <v>0</v>
      </c>
      <c r="C12" s="50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L12" t="s">
        <v>60</v>
      </c>
      <c r="N12">
        <v>0</v>
      </c>
      <c r="O12">
        <v>0</v>
      </c>
      <c r="P12">
        <v>0</v>
      </c>
    </row>
    <row r="13" spans="1:35" hidden="1" x14ac:dyDescent="0.35">
      <c r="A13">
        <v>13</v>
      </c>
      <c r="B13" s="50">
        <v>0</v>
      </c>
      <c r="C13" s="50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L13" t="s">
        <v>60</v>
      </c>
      <c r="N13">
        <v>0</v>
      </c>
      <c r="O13">
        <v>0</v>
      </c>
      <c r="P13">
        <v>0</v>
      </c>
    </row>
    <row r="14" spans="1:35" hidden="1" x14ac:dyDescent="0.35">
      <c r="A14">
        <v>14</v>
      </c>
      <c r="B14" s="50">
        <v>0</v>
      </c>
      <c r="C14" s="50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L14" t="s">
        <v>60</v>
      </c>
      <c r="N14">
        <v>0</v>
      </c>
      <c r="O14">
        <v>0</v>
      </c>
      <c r="P14">
        <v>0</v>
      </c>
    </row>
    <row r="15" spans="1:35" hidden="1" x14ac:dyDescent="0.35">
      <c r="A15">
        <v>15</v>
      </c>
      <c r="B15" s="50">
        <v>0</v>
      </c>
      <c r="C15" s="50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L15" t="s">
        <v>60</v>
      </c>
      <c r="N15">
        <v>0</v>
      </c>
      <c r="O15">
        <v>0</v>
      </c>
      <c r="P15">
        <v>0</v>
      </c>
    </row>
    <row r="16" spans="1:35" hidden="1" x14ac:dyDescent="0.35">
      <c r="A16">
        <v>16</v>
      </c>
      <c r="B16" s="50">
        <v>0</v>
      </c>
      <c r="C16" s="50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L16" t="s">
        <v>60</v>
      </c>
      <c r="N16">
        <v>0</v>
      </c>
      <c r="O16">
        <v>0</v>
      </c>
      <c r="P16">
        <v>0</v>
      </c>
    </row>
    <row r="17" spans="1:16" hidden="1" x14ac:dyDescent="0.35">
      <c r="A17">
        <v>17</v>
      </c>
      <c r="B17" s="50">
        <v>0</v>
      </c>
      <c r="C17" s="50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L17" t="s">
        <v>60</v>
      </c>
      <c r="N17">
        <v>0</v>
      </c>
      <c r="O17">
        <v>0</v>
      </c>
      <c r="P17">
        <v>0</v>
      </c>
    </row>
    <row r="18" spans="1:16" hidden="1" x14ac:dyDescent="0.35">
      <c r="A18">
        <v>18</v>
      </c>
      <c r="B18" s="50">
        <v>0</v>
      </c>
      <c r="C18" s="50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L18" t="s">
        <v>60</v>
      </c>
      <c r="N18">
        <v>0</v>
      </c>
      <c r="O18">
        <v>0</v>
      </c>
      <c r="P18">
        <v>0</v>
      </c>
    </row>
    <row r="19" spans="1:16" hidden="1" x14ac:dyDescent="0.35">
      <c r="A19">
        <v>19</v>
      </c>
      <c r="B19" s="50">
        <v>0</v>
      </c>
      <c r="C19" s="50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L19" t="s">
        <v>60</v>
      </c>
      <c r="N19">
        <v>0</v>
      </c>
      <c r="O19">
        <v>0</v>
      </c>
      <c r="P19">
        <v>0</v>
      </c>
    </row>
    <row r="20" spans="1:16" hidden="1" x14ac:dyDescent="0.35">
      <c r="A20">
        <v>20</v>
      </c>
      <c r="B20" s="50">
        <v>0</v>
      </c>
      <c r="C20" s="5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L20" t="s">
        <v>60</v>
      </c>
      <c r="N20">
        <v>0</v>
      </c>
      <c r="O20">
        <v>0</v>
      </c>
      <c r="P20">
        <v>0</v>
      </c>
    </row>
    <row r="21" spans="1:16" hidden="1" x14ac:dyDescent="0.35">
      <c r="A21">
        <v>21</v>
      </c>
      <c r="B21" s="50">
        <v>0</v>
      </c>
      <c r="C21" s="50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L21" t="s">
        <v>60</v>
      </c>
      <c r="N21">
        <v>0</v>
      </c>
      <c r="O21">
        <v>0</v>
      </c>
      <c r="P21">
        <v>0</v>
      </c>
    </row>
    <row r="22" spans="1:16" hidden="1" x14ac:dyDescent="0.35">
      <c r="A22">
        <v>22</v>
      </c>
      <c r="B22" s="50">
        <v>0</v>
      </c>
      <c r="C22" s="50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 t="s">
        <v>60</v>
      </c>
      <c r="N22">
        <v>0</v>
      </c>
      <c r="O22">
        <v>0</v>
      </c>
      <c r="P22">
        <v>0</v>
      </c>
    </row>
    <row r="23" spans="1:16" hidden="1" x14ac:dyDescent="0.35">
      <c r="A23">
        <v>23</v>
      </c>
      <c r="B23" s="50">
        <v>0</v>
      </c>
      <c r="C23" s="50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 t="s">
        <v>60</v>
      </c>
      <c r="N23">
        <v>0</v>
      </c>
      <c r="O23">
        <v>0</v>
      </c>
      <c r="P23">
        <v>0</v>
      </c>
    </row>
    <row r="24" spans="1:16" hidden="1" x14ac:dyDescent="0.35">
      <c r="A24">
        <v>24</v>
      </c>
      <c r="B24" s="50">
        <v>0</v>
      </c>
      <c r="C24" s="50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L24" t="s">
        <v>60</v>
      </c>
      <c r="N24">
        <v>0</v>
      </c>
      <c r="O24">
        <v>0</v>
      </c>
      <c r="P24">
        <v>0</v>
      </c>
    </row>
    <row r="25" spans="1:16" hidden="1" x14ac:dyDescent="0.35">
      <c r="A25">
        <v>25</v>
      </c>
      <c r="B25" s="50">
        <v>0</v>
      </c>
      <c r="C25" s="50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 t="s">
        <v>60</v>
      </c>
      <c r="N25">
        <v>0</v>
      </c>
      <c r="O25">
        <v>0</v>
      </c>
      <c r="P25">
        <v>0</v>
      </c>
    </row>
    <row r="26" spans="1:16" hidden="1" x14ac:dyDescent="0.35">
      <c r="A26">
        <v>26</v>
      </c>
      <c r="B26" s="50">
        <v>0</v>
      </c>
      <c r="C26" s="50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L26" t="s">
        <v>60</v>
      </c>
      <c r="N26">
        <v>0</v>
      </c>
      <c r="O26">
        <v>0</v>
      </c>
      <c r="P26">
        <v>0</v>
      </c>
    </row>
    <row r="27" spans="1:16" hidden="1" x14ac:dyDescent="0.35">
      <c r="A27">
        <v>27</v>
      </c>
      <c r="B27" s="50">
        <v>0</v>
      </c>
      <c r="C27" s="50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L27" t="s">
        <v>60</v>
      </c>
      <c r="N27">
        <v>0</v>
      </c>
      <c r="O27">
        <v>0</v>
      </c>
      <c r="P27">
        <v>0</v>
      </c>
    </row>
    <row r="28" spans="1:16" hidden="1" x14ac:dyDescent="0.35">
      <c r="A28">
        <v>28</v>
      </c>
      <c r="B28" s="50">
        <v>0</v>
      </c>
      <c r="C28" s="50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L28" t="s">
        <v>60</v>
      </c>
      <c r="N28">
        <v>0</v>
      </c>
      <c r="O28">
        <v>0</v>
      </c>
      <c r="P28">
        <v>0</v>
      </c>
    </row>
    <row r="29" spans="1:16" hidden="1" x14ac:dyDescent="0.35">
      <c r="A29">
        <v>29</v>
      </c>
      <c r="B29" s="50">
        <v>0</v>
      </c>
      <c r="C29" s="50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L29" t="s">
        <v>60</v>
      </c>
      <c r="N29">
        <v>0</v>
      </c>
      <c r="O29">
        <v>0</v>
      </c>
      <c r="P29">
        <v>0</v>
      </c>
    </row>
    <row r="30" spans="1:16" hidden="1" x14ac:dyDescent="0.35">
      <c r="A30">
        <v>30</v>
      </c>
      <c r="B30" s="50">
        <v>0</v>
      </c>
      <c r="C30" s="5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L30" t="s">
        <v>60</v>
      </c>
      <c r="N30">
        <v>0</v>
      </c>
      <c r="O30">
        <v>0</v>
      </c>
      <c r="P30">
        <v>0</v>
      </c>
    </row>
    <row r="31" spans="1:16" hidden="1" x14ac:dyDescent="0.35">
      <c r="A31">
        <v>31</v>
      </c>
      <c r="B31" s="50">
        <v>0</v>
      </c>
      <c r="C31" s="50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L31" t="s">
        <v>60</v>
      </c>
      <c r="N31">
        <v>0</v>
      </c>
      <c r="O31">
        <v>0</v>
      </c>
      <c r="P31">
        <v>0</v>
      </c>
    </row>
    <row r="32" spans="1:16" hidden="1" x14ac:dyDescent="0.35">
      <c r="A32">
        <v>32</v>
      </c>
      <c r="B32" s="50">
        <v>0</v>
      </c>
      <c r="C32" s="50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L32" t="s">
        <v>60</v>
      </c>
      <c r="N32">
        <v>0</v>
      </c>
      <c r="O32">
        <v>0</v>
      </c>
      <c r="P32">
        <v>0</v>
      </c>
    </row>
    <row r="33" spans="1:16" hidden="1" x14ac:dyDescent="0.35">
      <c r="A33">
        <v>33</v>
      </c>
      <c r="B33" s="50">
        <v>0</v>
      </c>
      <c r="C33" s="50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L33" t="s">
        <v>60</v>
      </c>
      <c r="N33">
        <v>0</v>
      </c>
      <c r="O33">
        <v>0</v>
      </c>
      <c r="P33">
        <v>0</v>
      </c>
    </row>
    <row r="34" spans="1:16" hidden="1" x14ac:dyDescent="0.35">
      <c r="A34">
        <v>34</v>
      </c>
      <c r="B34" s="50">
        <v>0</v>
      </c>
      <c r="C34" s="50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 t="s">
        <v>60</v>
      </c>
      <c r="N34">
        <v>0</v>
      </c>
      <c r="O34">
        <v>0</v>
      </c>
      <c r="P34">
        <v>0</v>
      </c>
    </row>
    <row r="35" spans="1:16" hidden="1" x14ac:dyDescent="0.35">
      <c r="A35">
        <v>35</v>
      </c>
      <c r="B35" s="50">
        <v>0</v>
      </c>
      <c r="C35" s="50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L35" t="s">
        <v>60</v>
      </c>
      <c r="N35">
        <v>0</v>
      </c>
      <c r="O35">
        <v>0</v>
      </c>
      <c r="P35">
        <v>0</v>
      </c>
    </row>
    <row r="36" spans="1:16" hidden="1" x14ac:dyDescent="0.35">
      <c r="A36">
        <v>36</v>
      </c>
      <c r="B36" s="50">
        <v>0</v>
      </c>
      <c r="C36" s="50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L36" t="s">
        <v>60</v>
      </c>
      <c r="N36">
        <v>0</v>
      </c>
      <c r="O36">
        <v>0</v>
      </c>
      <c r="P36">
        <v>0</v>
      </c>
    </row>
    <row r="37" spans="1:16" hidden="1" x14ac:dyDescent="0.35">
      <c r="A37">
        <v>37</v>
      </c>
      <c r="B37" s="50">
        <v>0</v>
      </c>
      <c r="C37" s="50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L37" t="s">
        <v>60</v>
      </c>
      <c r="N37">
        <v>0</v>
      </c>
      <c r="O37">
        <v>0</v>
      </c>
      <c r="P37">
        <v>0</v>
      </c>
    </row>
    <row r="38" spans="1:16" hidden="1" x14ac:dyDescent="0.35">
      <c r="A38">
        <v>38</v>
      </c>
      <c r="B38" s="50">
        <v>0</v>
      </c>
      <c r="C38" s="50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 t="s">
        <v>60</v>
      </c>
      <c r="N38">
        <v>0</v>
      </c>
      <c r="O38">
        <v>0</v>
      </c>
      <c r="P38">
        <v>0</v>
      </c>
    </row>
    <row r="39" spans="1:16" hidden="1" x14ac:dyDescent="0.35">
      <c r="A39">
        <v>39</v>
      </c>
      <c r="B39" s="50">
        <v>0</v>
      </c>
      <c r="C39" s="50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L39" t="s">
        <v>60</v>
      </c>
      <c r="N39">
        <v>0</v>
      </c>
      <c r="O39">
        <v>0</v>
      </c>
      <c r="P39">
        <v>0</v>
      </c>
    </row>
    <row r="40" spans="1:16" hidden="1" x14ac:dyDescent="0.35">
      <c r="A40">
        <v>40</v>
      </c>
      <c r="B40" s="50">
        <v>0</v>
      </c>
      <c r="C40" s="5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L40" t="s">
        <v>60</v>
      </c>
      <c r="N40">
        <v>0</v>
      </c>
      <c r="O40">
        <v>0</v>
      </c>
      <c r="P40">
        <v>0</v>
      </c>
    </row>
    <row r="41" spans="1:16" hidden="1" x14ac:dyDescent="0.35">
      <c r="A41">
        <v>41</v>
      </c>
      <c r="B41" s="50">
        <v>0</v>
      </c>
      <c r="C41" s="50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L41" t="s">
        <v>60</v>
      </c>
      <c r="N41">
        <v>0</v>
      </c>
      <c r="O41">
        <v>0</v>
      </c>
      <c r="P41">
        <v>0</v>
      </c>
    </row>
    <row r="42" spans="1:16" hidden="1" x14ac:dyDescent="0.35">
      <c r="A42">
        <v>42</v>
      </c>
      <c r="B42" s="50">
        <v>0</v>
      </c>
      <c r="C42" s="50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L42" t="s">
        <v>60</v>
      </c>
      <c r="N42">
        <v>0</v>
      </c>
      <c r="O42">
        <v>0</v>
      </c>
      <c r="P42">
        <v>0</v>
      </c>
    </row>
    <row r="43" spans="1:16" hidden="1" x14ac:dyDescent="0.35">
      <c r="A43">
        <v>43</v>
      </c>
      <c r="B43" s="50">
        <v>0</v>
      </c>
      <c r="C43" s="50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L43" t="s">
        <v>60</v>
      </c>
      <c r="N43">
        <v>0</v>
      </c>
      <c r="O43">
        <v>0</v>
      </c>
      <c r="P43">
        <v>0</v>
      </c>
    </row>
    <row r="44" spans="1:16" hidden="1" x14ac:dyDescent="0.35">
      <c r="A44">
        <v>44</v>
      </c>
      <c r="B44" s="50">
        <v>0</v>
      </c>
      <c r="C44" s="50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L44" t="s">
        <v>60</v>
      </c>
      <c r="N44">
        <v>0</v>
      </c>
      <c r="O44">
        <v>0</v>
      </c>
      <c r="P44">
        <v>0</v>
      </c>
    </row>
    <row r="45" spans="1:16" hidden="1" x14ac:dyDescent="0.35">
      <c r="A45">
        <v>45</v>
      </c>
      <c r="B45" s="50">
        <v>0</v>
      </c>
      <c r="C45" s="50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 t="s">
        <v>60</v>
      </c>
      <c r="N45">
        <v>0</v>
      </c>
      <c r="O45">
        <v>0</v>
      </c>
      <c r="P45">
        <v>0</v>
      </c>
    </row>
    <row r="46" spans="1:16" hidden="1" x14ac:dyDescent="0.35">
      <c r="A46">
        <v>46</v>
      </c>
      <c r="B46" s="50">
        <v>0</v>
      </c>
      <c r="C46" s="50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L46" t="s">
        <v>60</v>
      </c>
      <c r="N46">
        <v>0</v>
      </c>
      <c r="O46">
        <v>0</v>
      </c>
      <c r="P46">
        <v>0</v>
      </c>
    </row>
    <row r="47" spans="1:16" hidden="1" x14ac:dyDescent="0.35">
      <c r="A47">
        <v>47</v>
      </c>
      <c r="B47" s="50">
        <v>0</v>
      </c>
      <c r="C47" s="50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 t="s">
        <v>60</v>
      </c>
      <c r="N47">
        <v>0</v>
      </c>
      <c r="O47">
        <v>0</v>
      </c>
      <c r="P47">
        <v>0</v>
      </c>
    </row>
    <row r="48" spans="1:16" hidden="1" x14ac:dyDescent="0.35">
      <c r="A48">
        <v>48</v>
      </c>
      <c r="B48" s="50">
        <v>0</v>
      </c>
      <c r="C48" s="50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 t="s">
        <v>60</v>
      </c>
      <c r="N48">
        <v>0</v>
      </c>
      <c r="O48">
        <v>0</v>
      </c>
      <c r="P48">
        <v>0</v>
      </c>
    </row>
    <row r="49" spans="1:16" hidden="1" x14ac:dyDescent="0.35">
      <c r="A49">
        <v>49</v>
      </c>
      <c r="B49" s="50">
        <v>0</v>
      </c>
      <c r="C49" s="50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L49" t="s">
        <v>60</v>
      </c>
      <c r="N49">
        <v>0</v>
      </c>
      <c r="O49">
        <v>0</v>
      </c>
      <c r="P49">
        <v>0</v>
      </c>
    </row>
    <row r="50" spans="1:16" hidden="1" x14ac:dyDescent="0.35">
      <c r="A50">
        <v>50</v>
      </c>
      <c r="B50" s="50">
        <v>0</v>
      </c>
      <c r="C50" s="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L50" t="s">
        <v>60</v>
      </c>
      <c r="N50">
        <v>0</v>
      </c>
      <c r="O50">
        <v>0</v>
      </c>
      <c r="P50">
        <v>0</v>
      </c>
    </row>
    <row r="51" spans="1:16" hidden="1" x14ac:dyDescent="0.35">
      <c r="A51">
        <v>51</v>
      </c>
      <c r="B51" s="50">
        <v>0</v>
      </c>
      <c r="C51" s="50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L51" t="s">
        <v>60</v>
      </c>
      <c r="N51">
        <v>0</v>
      </c>
      <c r="O51">
        <v>0</v>
      </c>
      <c r="P51">
        <v>0</v>
      </c>
    </row>
    <row r="52" spans="1:16" hidden="1" x14ac:dyDescent="0.35">
      <c r="A52">
        <v>52</v>
      </c>
      <c r="B52" s="50">
        <v>0</v>
      </c>
      <c r="C52" s="50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L52" t="s">
        <v>60</v>
      </c>
      <c r="N52">
        <v>0</v>
      </c>
      <c r="O52">
        <v>0</v>
      </c>
      <c r="P52">
        <v>0</v>
      </c>
    </row>
    <row r="53" spans="1:16" hidden="1" x14ac:dyDescent="0.35">
      <c r="A53">
        <v>53</v>
      </c>
      <c r="B53" s="50">
        <v>0</v>
      </c>
      <c r="C53" s="50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L53" t="s">
        <v>60</v>
      </c>
      <c r="N53">
        <v>0</v>
      </c>
      <c r="O53">
        <v>0</v>
      </c>
      <c r="P53">
        <v>0</v>
      </c>
    </row>
    <row r="54" spans="1:16" hidden="1" x14ac:dyDescent="0.35">
      <c r="A54">
        <v>54</v>
      </c>
      <c r="B54" s="50">
        <v>0</v>
      </c>
      <c r="C54" s="50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L54" t="s">
        <v>60</v>
      </c>
      <c r="N54">
        <v>0</v>
      </c>
      <c r="O54">
        <v>0</v>
      </c>
      <c r="P54">
        <v>0</v>
      </c>
    </row>
    <row r="55" spans="1:16" hidden="1" x14ac:dyDescent="0.35">
      <c r="A55">
        <v>55</v>
      </c>
      <c r="B55" s="50">
        <v>0</v>
      </c>
      <c r="C55" s="50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 t="s">
        <v>60</v>
      </c>
      <c r="N55">
        <v>0</v>
      </c>
      <c r="O55">
        <v>0</v>
      </c>
      <c r="P55">
        <v>0</v>
      </c>
    </row>
    <row r="56" spans="1:16" hidden="1" x14ac:dyDescent="0.35">
      <c r="A56">
        <v>56</v>
      </c>
      <c r="B56" s="50">
        <v>0</v>
      </c>
      <c r="C56" s="50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 t="s">
        <v>60</v>
      </c>
      <c r="N56">
        <v>0</v>
      </c>
      <c r="O56">
        <v>0</v>
      </c>
      <c r="P56">
        <v>0</v>
      </c>
    </row>
    <row r="57" spans="1:16" hidden="1" x14ac:dyDescent="0.35">
      <c r="A57">
        <v>57</v>
      </c>
      <c r="B57" s="50">
        <v>0</v>
      </c>
      <c r="C57" s="50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L57" t="s">
        <v>60</v>
      </c>
      <c r="N57">
        <v>0</v>
      </c>
      <c r="O57">
        <v>0</v>
      </c>
      <c r="P57">
        <v>0</v>
      </c>
    </row>
    <row r="58" spans="1:16" hidden="1" x14ac:dyDescent="0.35">
      <c r="A58">
        <v>58</v>
      </c>
      <c r="B58" s="50">
        <v>0</v>
      </c>
      <c r="C58" s="50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L58" t="s">
        <v>60</v>
      </c>
      <c r="N58">
        <v>0</v>
      </c>
      <c r="O58">
        <v>0</v>
      </c>
      <c r="P58">
        <v>0</v>
      </c>
    </row>
    <row r="59" spans="1:16" hidden="1" x14ac:dyDescent="0.35">
      <c r="A59">
        <v>59</v>
      </c>
      <c r="B59" s="50">
        <v>0</v>
      </c>
      <c r="C59" s="50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L59" t="s">
        <v>60</v>
      </c>
      <c r="N59">
        <v>0</v>
      </c>
      <c r="O59">
        <v>0</v>
      </c>
      <c r="P59">
        <v>0</v>
      </c>
    </row>
    <row r="60" spans="1:16" hidden="1" x14ac:dyDescent="0.35">
      <c r="A60">
        <v>60</v>
      </c>
      <c r="B60" s="50">
        <v>0</v>
      </c>
      <c r="C60" s="5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L60" t="s">
        <v>60</v>
      </c>
      <c r="N60">
        <v>0</v>
      </c>
      <c r="O60">
        <v>0</v>
      </c>
      <c r="P60">
        <v>0</v>
      </c>
    </row>
    <row r="61" spans="1:16" hidden="1" x14ac:dyDescent="0.35">
      <c r="A61">
        <v>61</v>
      </c>
      <c r="B61" s="50">
        <v>0</v>
      </c>
      <c r="C61" s="50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L61" t="s">
        <v>60</v>
      </c>
      <c r="N61">
        <v>0</v>
      </c>
      <c r="O61">
        <v>0</v>
      </c>
      <c r="P61">
        <v>0</v>
      </c>
    </row>
    <row r="62" spans="1:16" hidden="1" x14ac:dyDescent="0.35">
      <c r="A62">
        <v>62</v>
      </c>
      <c r="B62" s="50">
        <v>0</v>
      </c>
      <c r="C62" s="50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L62" t="s">
        <v>60</v>
      </c>
      <c r="N62">
        <v>0</v>
      </c>
      <c r="O62">
        <v>0</v>
      </c>
      <c r="P62">
        <v>0</v>
      </c>
    </row>
    <row r="63" spans="1:16" hidden="1" x14ac:dyDescent="0.35">
      <c r="A63">
        <v>63</v>
      </c>
      <c r="B63" s="50">
        <v>0</v>
      </c>
      <c r="C63" s="50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L63" t="s">
        <v>60</v>
      </c>
      <c r="N63">
        <v>0</v>
      </c>
      <c r="O63">
        <v>0</v>
      </c>
      <c r="P63">
        <v>0</v>
      </c>
    </row>
    <row r="64" spans="1:16" hidden="1" x14ac:dyDescent="0.35">
      <c r="A64">
        <v>64</v>
      </c>
      <c r="B64" s="50">
        <v>0</v>
      </c>
      <c r="C64" s="50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L64" t="s">
        <v>60</v>
      </c>
      <c r="N64">
        <v>0</v>
      </c>
      <c r="O64">
        <v>0</v>
      </c>
      <c r="P64">
        <v>0</v>
      </c>
    </row>
    <row r="65" spans="1:16" hidden="1" x14ac:dyDescent="0.35">
      <c r="A65">
        <v>65</v>
      </c>
      <c r="B65" s="50">
        <v>0</v>
      </c>
      <c r="C65" s="50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L65" t="s">
        <v>60</v>
      </c>
      <c r="N65">
        <v>0</v>
      </c>
      <c r="O65">
        <v>0</v>
      </c>
      <c r="P65">
        <v>0</v>
      </c>
    </row>
    <row r="66" spans="1:16" hidden="1" x14ac:dyDescent="0.35">
      <c r="A66">
        <v>66</v>
      </c>
      <c r="B66" s="50">
        <v>0</v>
      </c>
      <c r="C66" s="50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L66" t="s">
        <v>60</v>
      </c>
      <c r="N66">
        <v>0</v>
      </c>
      <c r="O66">
        <v>0</v>
      </c>
      <c r="P66">
        <v>0</v>
      </c>
    </row>
    <row r="67" spans="1:16" hidden="1" x14ac:dyDescent="0.35">
      <c r="A67">
        <v>67</v>
      </c>
      <c r="B67" s="50">
        <v>0</v>
      </c>
      <c r="C67" s="50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L67" t="s">
        <v>60</v>
      </c>
      <c r="N67">
        <v>0</v>
      </c>
      <c r="O67">
        <v>0</v>
      </c>
      <c r="P67">
        <v>0</v>
      </c>
    </row>
    <row r="68" spans="1:16" hidden="1" x14ac:dyDescent="0.35">
      <c r="A68">
        <v>68</v>
      </c>
      <c r="B68" s="50">
        <v>0</v>
      </c>
      <c r="C68" s="50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L68" t="s">
        <v>60</v>
      </c>
      <c r="N68">
        <v>0</v>
      </c>
      <c r="O68">
        <v>0</v>
      </c>
      <c r="P68">
        <v>0</v>
      </c>
    </row>
    <row r="69" spans="1:16" hidden="1" x14ac:dyDescent="0.35">
      <c r="A69">
        <v>69</v>
      </c>
      <c r="B69" s="50">
        <v>0</v>
      </c>
      <c r="C69" s="50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L69" t="s">
        <v>60</v>
      </c>
      <c r="N69">
        <v>0</v>
      </c>
      <c r="O69">
        <v>0</v>
      </c>
      <c r="P69">
        <v>0</v>
      </c>
    </row>
    <row r="70" spans="1:16" hidden="1" x14ac:dyDescent="0.35">
      <c r="A70">
        <v>70</v>
      </c>
      <c r="B70" s="50">
        <v>0</v>
      </c>
      <c r="C70" s="5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L70" t="s">
        <v>60</v>
      </c>
      <c r="N70">
        <v>0</v>
      </c>
      <c r="O70">
        <v>0</v>
      </c>
      <c r="P70">
        <v>0</v>
      </c>
    </row>
    <row r="71" spans="1:16" hidden="1" x14ac:dyDescent="0.35">
      <c r="A71">
        <v>71</v>
      </c>
      <c r="B71" s="50">
        <v>0</v>
      </c>
      <c r="C71" s="50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L71" t="s">
        <v>60</v>
      </c>
      <c r="N71">
        <v>0</v>
      </c>
      <c r="O71">
        <v>0</v>
      </c>
      <c r="P71">
        <v>0</v>
      </c>
    </row>
    <row r="72" spans="1:16" hidden="1" x14ac:dyDescent="0.35">
      <c r="A72">
        <v>72</v>
      </c>
      <c r="B72" s="50">
        <v>0</v>
      </c>
      <c r="C72" s="50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L72" t="s">
        <v>60</v>
      </c>
      <c r="N72">
        <v>0</v>
      </c>
      <c r="O72">
        <v>0</v>
      </c>
      <c r="P72">
        <v>0</v>
      </c>
    </row>
    <row r="73" spans="1:16" hidden="1" x14ac:dyDescent="0.35">
      <c r="A73">
        <v>73</v>
      </c>
      <c r="B73" s="50">
        <v>0</v>
      </c>
      <c r="C73" s="50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L73" t="s">
        <v>60</v>
      </c>
      <c r="N73">
        <v>0</v>
      </c>
      <c r="O73">
        <v>0</v>
      </c>
      <c r="P73">
        <v>0</v>
      </c>
    </row>
    <row r="74" spans="1:16" hidden="1" x14ac:dyDescent="0.35">
      <c r="A74">
        <v>74</v>
      </c>
      <c r="B74" s="50">
        <v>0</v>
      </c>
      <c r="C74" s="50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L74" t="s">
        <v>60</v>
      </c>
      <c r="N74">
        <v>0</v>
      </c>
      <c r="O74">
        <v>0</v>
      </c>
      <c r="P74">
        <v>0</v>
      </c>
    </row>
    <row r="75" spans="1:16" hidden="1" x14ac:dyDescent="0.35">
      <c r="A75">
        <v>75</v>
      </c>
      <c r="B75" s="50">
        <v>0</v>
      </c>
      <c r="C75" s="50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L75" t="s">
        <v>60</v>
      </c>
      <c r="N75">
        <v>0</v>
      </c>
      <c r="O75">
        <v>0</v>
      </c>
      <c r="P75">
        <v>0</v>
      </c>
    </row>
    <row r="76" spans="1:16" hidden="1" x14ac:dyDescent="0.35">
      <c r="A76">
        <v>76</v>
      </c>
      <c r="B76" s="50">
        <v>0</v>
      </c>
      <c r="C76" s="50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L76" t="s">
        <v>60</v>
      </c>
      <c r="N76">
        <v>0</v>
      </c>
      <c r="O76">
        <v>0</v>
      </c>
      <c r="P76">
        <v>0</v>
      </c>
    </row>
    <row r="77" spans="1:16" hidden="1" x14ac:dyDescent="0.35">
      <c r="A77">
        <v>77</v>
      </c>
      <c r="B77" s="50">
        <v>0</v>
      </c>
      <c r="C77" s="50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L77" t="s">
        <v>60</v>
      </c>
      <c r="N77">
        <v>0</v>
      </c>
      <c r="O77">
        <v>0</v>
      </c>
      <c r="P77">
        <v>0</v>
      </c>
    </row>
    <row r="78" spans="1:16" hidden="1" x14ac:dyDescent="0.35">
      <c r="A78">
        <v>78</v>
      </c>
      <c r="B78" s="50">
        <v>0</v>
      </c>
      <c r="C78" s="50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L78" t="s">
        <v>60</v>
      </c>
      <c r="N78">
        <v>0</v>
      </c>
      <c r="O78">
        <v>0</v>
      </c>
      <c r="P78">
        <v>0</v>
      </c>
    </row>
    <row r="79" spans="1:16" hidden="1" x14ac:dyDescent="0.35">
      <c r="A79">
        <v>79</v>
      </c>
      <c r="B79" s="50">
        <v>0</v>
      </c>
      <c r="C79" s="50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L79" t="s">
        <v>60</v>
      </c>
      <c r="N79">
        <v>0</v>
      </c>
      <c r="O79">
        <v>0</v>
      </c>
      <c r="P79">
        <v>0</v>
      </c>
    </row>
    <row r="80" spans="1:16" hidden="1" x14ac:dyDescent="0.35">
      <c r="A80">
        <v>80</v>
      </c>
      <c r="B80" s="50">
        <v>0</v>
      </c>
      <c r="C80" s="5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L80" t="s">
        <v>60</v>
      </c>
      <c r="N80">
        <v>0</v>
      </c>
      <c r="O80">
        <v>0</v>
      </c>
      <c r="P80">
        <v>0</v>
      </c>
    </row>
    <row r="81" spans="1:16" hidden="1" x14ac:dyDescent="0.35">
      <c r="A81">
        <v>81</v>
      </c>
      <c r="B81" s="50">
        <v>0</v>
      </c>
      <c r="C81" s="50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L81" t="s">
        <v>60</v>
      </c>
      <c r="N81">
        <v>0</v>
      </c>
      <c r="O81">
        <v>0</v>
      </c>
      <c r="P81">
        <v>0</v>
      </c>
    </row>
    <row r="82" spans="1:16" hidden="1" x14ac:dyDescent="0.35">
      <c r="A82">
        <v>82</v>
      </c>
      <c r="B82" s="50">
        <v>0</v>
      </c>
      <c r="C82" s="50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L82" t="s">
        <v>60</v>
      </c>
      <c r="N82">
        <v>0</v>
      </c>
      <c r="O82">
        <v>0</v>
      </c>
      <c r="P82">
        <v>0</v>
      </c>
    </row>
    <row r="83" spans="1:16" hidden="1" x14ac:dyDescent="0.35">
      <c r="A83">
        <v>83</v>
      </c>
      <c r="B83" s="50">
        <v>0</v>
      </c>
      <c r="C83" s="50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L83" t="s">
        <v>60</v>
      </c>
      <c r="N83">
        <v>0</v>
      </c>
      <c r="O83">
        <v>0</v>
      </c>
      <c r="P83">
        <v>0</v>
      </c>
    </row>
    <row r="84" spans="1:16" hidden="1" x14ac:dyDescent="0.35">
      <c r="A84">
        <v>84</v>
      </c>
      <c r="B84" s="50">
        <v>0</v>
      </c>
      <c r="C84" s="50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L84" t="s">
        <v>60</v>
      </c>
      <c r="N84">
        <v>0</v>
      </c>
      <c r="O84">
        <v>0</v>
      </c>
      <c r="P84">
        <v>0</v>
      </c>
    </row>
    <row r="85" spans="1:16" hidden="1" x14ac:dyDescent="0.35">
      <c r="A85">
        <v>85</v>
      </c>
      <c r="B85" s="50">
        <v>0</v>
      </c>
      <c r="C85" s="50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L85" t="s">
        <v>60</v>
      </c>
      <c r="N85">
        <v>0</v>
      </c>
      <c r="O85">
        <v>0</v>
      </c>
      <c r="P85">
        <v>0</v>
      </c>
    </row>
    <row r="86" spans="1:16" hidden="1" x14ac:dyDescent="0.35">
      <c r="A86">
        <v>86</v>
      </c>
      <c r="B86" s="50">
        <v>0</v>
      </c>
      <c r="C86" s="50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L86" t="s">
        <v>60</v>
      </c>
      <c r="N86">
        <v>0</v>
      </c>
      <c r="O86">
        <v>0</v>
      </c>
      <c r="P86">
        <v>0</v>
      </c>
    </row>
    <row r="87" spans="1:16" hidden="1" x14ac:dyDescent="0.35">
      <c r="A87">
        <v>87</v>
      </c>
      <c r="B87" s="50">
        <v>0</v>
      </c>
      <c r="C87" s="50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L87" t="s">
        <v>60</v>
      </c>
      <c r="N87">
        <v>0</v>
      </c>
      <c r="O87">
        <v>0</v>
      </c>
      <c r="P87">
        <v>0</v>
      </c>
    </row>
    <row r="88" spans="1:16" hidden="1" x14ac:dyDescent="0.35">
      <c r="A88">
        <v>88</v>
      </c>
      <c r="B88" s="50">
        <v>0</v>
      </c>
      <c r="C88" s="50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L88" t="s">
        <v>60</v>
      </c>
      <c r="N88">
        <v>0</v>
      </c>
      <c r="O88">
        <v>0</v>
      </c>
      <c r="P88">
        <v>0</v>
      </c>
    </row>
    <row r="89" spans="1:16" hidden="1" x14ac:dyDescent="0.35">
      <c r="A89">
        <v>89</v>
      </c>
      <c r="B89" s="50">
        <v>0</v>
      </c>
      <c r="C89" s="50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L89" t="s">
        <v>60</v>
      </c>
      <c r="N89">
        <v>0</v>
      </c>
      <c r="O89">
        <v>0</v>
      </c>
      <c r="P89">
        <v>0</v>
      </c>
    </row>
    <row r="90" spans="1:16" hidden="1" x14ac:dyDescent="0.35">
      <c r="A90">
        <v>90</v>
      </c>
      <c r="B90" s="50">
        <v>0</v>
      </c>
      <c r="C90" s="5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L90" t="s">
        <v>60</v>
      </c>
      <c r="N90">
        <v>0</v>
      </c>
      <c r="O90">
        <v>0</v>
      </c>
      <c r="P90">
        <v>0</v>
      </c>
    </row>
    <row r="91" spans="1:16" hidden="1" x14ac:dyDescent="0.35">
      <c r="A91">
        <v>91</v>
      </c>
      <c r="B91" s="50">
        <v>0</v>
      </c>
      <c r="C91" s="50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L91" t="s">
        <v>60</v>
      </c>
      <c r="N91">
        <v>0</v>
      </c>
      <c r="O91">
        <v>0</v>
      </c>
      <c r="P91">
        <v>0</v>
      </c>
    </row>
    <row r="92" spans="1:16" hidden="1" x14ac:dyDescent="0.35">
      <c r="A92">
        <v>92</v>
      </c>
      <c r="B92" s="50">
        <v>0</v>
      </c>
      <c r="C92" s="50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L92" t="s">
        <v>60</v>
      </c>
      <c r="N92">
        <v>0</v>
      </c>
      <c r="O92">
        <v>0</v>
      </c>
      <c r="P92">
        <v>0</v>
      </c>
    </row>
    <row r="93" spans="1:16" hidden="1" x14ac:dyDescent="0.35">
      <c r="A93">
        <v>93</v>
      </c>
      <c r="B93" s="50">
        <v>0</v>
      </c>
      <c r="C93" s="50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L93" t="s">
        <v>60</v>
      </c>
      <c r="N93">
        <v>0</v>
      </c>
      <c r="O93">
        <v>0</v>
      </c>
      <c r="P93">
        <v>0</v>
      </c>
    </row>
    <row r="94" spans="1:16" hidden="1" x14ac:dyDescent="0.35">
      <c r="A94">
        <v>94</v>
      </c>
      <c r="B94" s="50">
        <v>0</v>
      </c>
      <c r="C94" s="50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L94" t="s">
        <v>60</v>
      </c>
      <c r="N94">
        <v>0</v>
      </c>
      <c r="O94">
        <v>0</v>
      </c>
      <c r="P94">
        <v>0</v>
      </c>
    </row>
    <row r="95" spans="1:16" hidden="1" x14ac:dyDescent="0.35">
      <c r="A95">
        <v>95</v>
      </c>
      <c r="B95" s="50">
        <v>0</v>
      </c>
      <c r="C95" s="50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L95" t="s">
        <v>60</v>
      </c>
      <c r="N95">
        <v>0</v>
      </c>
      <c r="O95">
        <v>0</v>
      </c>
      <c r="P95">
        <v>0</v>
      </c>
    </row>
    <row r="96" spans="1:16" hidden="1" x14ac:dyDescent="0.35">
      <c r="A96">
        <v>96</v>
      </c>
      <c r="B96" s="50">
        <v>0</v>
      </c>
      <c r="C96" s="50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L96" t="s">
        <v>60</v>
      </c>
      <c r="N96">
        <v>0</v>
      </c>
      <c r="O96">
        <v>0</v>
      </c>
      <c r="P96">
        <v>0</v>
      </c>
    </row>
    <row r="97" spans="1:16" hidden="1" x14ac:dyDescent="0.35">
      <c r="A97">
        <v>97</v>
      </c>
      <c r="B97" s="50">
        <v>0</v>
      </c>
      <c r="C97" s="50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L97" t="s">
        <v>60</v>
      </c>
      <c r="N97">
        <v>0</v>
      </c>
      <c r="O97">
        <v>0</v>
      </c>
      <c r="P97">
        <v>0</v>
      </c>
    </row>
    <row r="98" spans="1:16" hidden="1" x14ac:dyDescent="0.35">
      <c r="A98">
        <v>98</v>
      </c>
      <c r="B98" s="50">
        <v>0</v>
      </c>
      <c r="C98" s="50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L98" t="s">
        <v>60</v>
      </c>
      <c r="N98">
        <v>0</v>
      </c>
      <c r="O98">
        <v>0</v>
      </c>
      <c r="P98">
        <v>0</v>
      </c>
    </row>
    <row r="99" spans="1:16" hidden="1" x14ac:dyDescent="0.35">
      <c r="A99">
        <v>99</v>
      </c>
      <c r="B99" s="50">
        <v>0</v>
      </c>
      <c r="C99" s="50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L99" t="s">
        <v>60</v>
      </c>
      <c r="N99">
        <v>0</v>
      </c>
      <c r="O99">
        <v>0</v>
      </c>
      <c r="P99">
        <v>0</v>
      </c>
    </row>
    <row r="100" spans="1:16" hidden="1" x14ac:dyDescent="0.35">
      <c r="A100">
        <v>100</v>
      </c>
      <c r="B100" s="50">
        <v>0</v>
      </c>
      <c r="C100" s="5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L100" t="s">
        <v>60</v>
      </c>
      <c r="N100">
        <v>0</v>
      </c>
      <c r="O100">
        <v>0</v>
      </c>
      <c r="P100">
        <v>0</v>
      </c>
    </row>
    <row r="101" spans="1:16" hidden="1" x14ac:dyDescent="0.35">
      <c r="A101">
        <v>101</v>
      </c>
      <c r="B101" s="50">
        <v>0</v>
      </c>
      <c r="C101" s="50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L101" t="s">
        <v>60</v>
      </c>
      <c r="N101">
        <v>0</v>
      </c>
      <c r="O101">
        <v>0</v>
      </c>
      <c r="P101">
        <v>0</v>
      </c>
    </row>
    <row r="102" spans="1:16" hidden="1" x14ac:dyDescent="0.35">
      <c r="A102">
        <v>102</v>
      </c>
      <c r="B102" s="50">
        <v>0</v>
      </c>
      <c r="C102" s="50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L102" t="s">
        <v>60</v>
      </c>
      <c r="N102">
        <v>0</v>
      </c>
      <c r="O102">
        <v>0</v>
      </c>
      <c r="P102">
        <v>0</v>
      </c>
    </row>
    <row r="103" spans="1:16" hidden="1" x14ac:dyDescent="0.35">
      <c r="A103">
        <v>103</v>
      </c>
      <c r="B103" s="50">
        <v>0</v>
      </c>
      <c r="C103" s="50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L103" t="s">
        <v>60</v>
      </c>
      <c r="N103">
        <v>0</v>
      </c>
      <c r="O103">
        <v>0</v>
      </c>
      <c r="P103">
        <v>0</v>
      </c>
    </row>
    <row r="104" spans="1:16" hidden="1" x14ac:dyDescent="0.35">
      <c r="A104">
        <v>104</v>
      </c>
      <c r="B104" s="50">
        <v>0</v>
      </c>
      <c r="C104" s="50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L104" t="s">
        <v>60</v>
      </c>
      <c r="N104">
        <v>0</v>
      </c>
      <c r="O104">
        <v>0</v>
      </c>
      <c r="P104">
        <v>0</v>
      </c>
    </row>
    <row r="105" spans="1:16" hidden="1" x14ac:dyDescent="0.35">
      <c r="A105">
        <v>105</v>
      </c>
      <c r="B105" s="50">
        <v>0</v>
      </c>
      <c r="C105" s="50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L105" t="s">
        <v>60</v>
      </c>
      <c r="N105">
        <v>0</v>
      </c>
      <c r="O105">
        <v>0</v>
      </c>
      <c r="P105">
        <v>0</v>
      </c>
    </row>
    <row r="106" spans="1:16" hidden="1" x14ac:dyDescent="0.35">
      <c r="A106">
        <v>106</v>
      </c>
      <c r="B106" s="50">
        <v>0</v>
      </c>
      <c r="C106" s="50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L106" t="s">
        <v>60</v>
      </c>
      <c r="N106">
        <v>0</v>
      </c>
      <c r="O106">
        <v>0</v>
      </c>
      <c r="P106">
        <v>0</v>
      </c>
    </row>
    <row r="107" spans="1:16" hidden="1" x14ac:dyDescent="0.35">
      <c r="A107">
        <v>107</v>
      </c>
      <c r="B107" s="50">
        <v>0</v>
      </c>
      <c r="C107" s="50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L107" t="s">
        <v>60</v>
      </c>
      <c r="N107">
        <v>0</v>
      </c>
      <c r="O107">
        <v>0</v>
      </c>
      <c r="P107">
        <v>0</v>
      </c>
    </row>
    <row r="108" spans="1:16" hidden="1" x14ac:dyDescent="0.35">
      <c r="A108">
        <v>108</v>
      </c>
      <c r="B108" s="50">
        <v>0</v>
      </c>
      <c r="C108" s="50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L108" t="s">
        <v>60</v>
      </c>
      <c r="N108">
        <v>0</v>
      </c>
      <c r="O108">
        <v>0</v>
      </c>
      <c r="P108">
        <v>0</v>
      </c>
    </row>
    <row r="109" spans="1:16" hidden="1" x14ac:dyDescent="0.35">
      <c r="A109">
        <v>109</v>
      </c>
      <c r="B109" s="50">
        <v>0</v>
      </c>
      <c r="C109" s="50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 t="s">
        <v>60</v>
      </c>
      <c r="N109">
        <v>0</v>
      </c>
      <c r="O109">
        <v>0</v>
      </c>
      <c r="P109">
        <v>0</v>
      </c>
    </row>
    <row r="110" spans="1:16" hidden="1" x14ac:dyDescent="0.35">
      <c r="A110">
        <v>110</v>
      </c>
      <c r="B110" s="50">
        <v>0</v>
      </c>
      <c r="C110" s="5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L110" t="s">
        <v>60</v>
      </c>
      <c r="N110">
        <v>0</v>
      </c>
      <c r="O110">
        <v>0</v>
      </c>
      <c r="P110">
        <v>0</v>
      </c>
    </row>
    <row r="111" spans="1:16" hidden="1" x14ac:dyDescent="0.35">
      <c r="A111">
        <v>111</v>
      </c>
      <c r="B111" s="50">
        <v>0</v>
      </c>
      <c r="C111" s="50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L111" t="s">
        <v>60</v>
      </c>
      <c r="N111">
        <v>0</v>
      </c>
      <c r="O111">
        <v>0</v>
      </c>
      <c r="P111">
        <v>0</v>
      </c>
    </row>
    <row r="112" spans="1:16" hidden="1" x14ac:dyDescent="0.35">
      <c r="A112">
        <v>112</v>
      </c>
      <c r="B112" s="50">
        <v>0</v>
      </c>
      <c r="C112" s="50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L112" t="s">
        <v>60</v>
      </c>
      <c r="N112">
        <v>0</v>
      </c>
      <c r="O112">
        <v>0</v>
      </c>
      <c r="P112">
        <v>0</v>
      </c>
    </row>
    <row r="113" spans="1:16" hidden="1" x14ac:dyDescent="0.35">
      <c r="A113">
        <v>113</v>
      </c>
      <c r="B113" s="50">
        <v>0</v>
      </c>
      <c r="C113" s="50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L113" t="s">
        <v>60</v>
      </c>
      <c r="N113">
        <v>0</v>
      </c>
      <c r="O113">
        <v>0</v>
      </c>
      <c r="P113">
        <v>0</v>
      </c>
    </row>
    <row r="114" spans="1:16" hidden="1" x14ac:dyDescent="0.35">
      <c r="A114">
        <v>114</v>
      </c>
      <c r="B114" s="50">
        <v>0</v>
      </c>
      <c r="C114" s="50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L114" t="s">
        <v>60</v>
      </c>
      <c r="N114">
        <v>0</v>
      </c>
      <c r="O114">
        <v>0</v>
      </c>
      <c r="P114">
        <v>0</v>
      </c>
    </row>
    <row r="115" spans="1:16" hidden="1" x14ac:dyDescent="0.35">
      <c r="A115">
        <v>115</v>
      </c>
      <c r="B115" s="50">
        <v>0</v>
      </c>
      <c r="C115" s="50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L115" t="s">
        <v>60</v>
      </c>
      <c r="N115">
        <v>0</v>
      </c>
      <c r="O115">
        <v>0</v>
      </c>
      <c r="P115">
        <v>0</v>
      </c>
    </row>
    <row r="116" spans="1:16" hidden="1" x14ac:dyDescent="0.35">
      <c r="A116">
        <v>116</v>
      </c>
      <c r="B116" s="50">
        <v>0</v>
      </c>
      <c r="C116" s="50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L116" t="s">
        <v>60</v>
      </c>
      <c r="N116">
        <v>0</v>
      </c>
      <c r="O116">
        <v>0</v>
      </c>
      <c r="P116">
        <v>0</v>
      </c>
    </row>
    <row r="117" spans="1:16" hidden="1" x14ac:dyDescent="0.35">
      <c r="A117">
        <v>117</v>
      </c>
      <c r="B117" s="50">
        <v>0</v>
      </c>
      <c r="C117" s="50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L117" t="s">
        <v>60</v>
      </c>
      <c r="N117">
        <v>0</v>
      </c>
      <c r="O117">
        <v>0</v>
      </c>
      <c r="P117">
        <v>0</v>
      </c>
    </row>
    <row r="118" spans="1:16" hidden="1" x14ac:dyDescent="0.35">
      <c r="A118">
        <v>118</v>
      </c>
      <c r="B118" s="50">
        <v>0</v>
      </c>
      <c r="C118" s="50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L118" t="s">
        <v>60</v>
      </c>
      <c r="N118">
        <v>0</v>
      </c>
      <c r="O118">
        <v>0</v>
      </c>
      <c r="P118">
        <v>0</v>
      </c>
    </row>
    <row r="119" spans="1:16" hidden="1" x14ac:dyDescent="0.35">
      <c r="A119">
        <v>119</v>
      </c>
      <c r="B119" s="50">
        <v>0</v>
      </c>
      <c r="C119" s="50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L119" t="s">
        <v>60</v>
      </c>
      <c r="N119">
        <v>0</v>
      </c>
      <c r="O119">
        <v>0</v>
      </c>
      <c r="P119">
        <v>0</v>
      </c>
    </row>
    <row r="120" spans="1:16" hidden="1" x14ac:dyDescent="0.35">
      <c r="A120">
        <v>120</v>
      </c>
      <c r="B120" s="50">
        <v>0</v>
      </c>
      <c r="C120" s="5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L120" t="s">
        <v>60</v>
      </c>
      <c r="N120">
        <v>0</v>
      </c>
      <c r="O120">
        <v>0</v>
      </c>
      <c r="P120">
        <v>0</v>
      </c>
    </row>
    <row r="121" spans="1:16" hidden="1" x14ac:dyDescent="0.35">
      <c r="A121">
        <v>121</v>
      </c>
      <c r="B121" s="50">
        <v>0</v>
      </c>
      <c r="C121" s="50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L121" t="s">
        <v>60</v>
      </c>
      <c r="N121">
        <v>0</v>
      </c>
      <c r="O121">
        <v>0</v>
      </c>
      <c r="P121">
        <v>0</v>
      </c>
    </row>
    <row r="122" spans="1:16" hidden="1" x14ac:dyDescent="0.35">
      <c r="A122">
        <v>122</v>
      </c>
      <c r="B122" s="50">
        <v>0</v>
      </c>
      <c r="C122" s="50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 t="s">
        <v>60</v>
      </c>
      <c r="N122">
        <v>0</v>
      </c>
      <c r="O122">
        <v>0</v>
      </c>
      <c r="P122">
        <v>0</v>
      </c>
    </row>
    <row r="123" spans="1:16" hidden="1" x14ac:dyDescent="0.35">
      <c r="A123">
        <v>123</v>
      </c>
      <c r="B123" s="50">
        <v>0</v>
      </c>
      <c r="C123" s="50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L123" t="s">
        <v>60</v>
      </c>
      <c r="N123">
        <v>0</v>
      </c>
      <c r="O123">
        <v>0</v>
      </c>
      <c r="P123">
        <v>0</v>
      </c>
    </row>
    <row r="124" spans="1:16" hidden="1" x14ac:dyDescent="0.35">
      <c r="A124">
        <v>124</v>
      </c>
      <c r="B124" s="50">
        <v>0</v>
      </c>
      <c r="C124" s="50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L124" t="s">
        <v>60</v>
      </c>
      <c r="N124">
        <v>0</v>
      </c>
      <c r="O124">
        <v>0</v>
      </c>
      <c r="P124">
        <v>0</v>
      </c>
    </row>
    <row r="125" spans="1:16" hidden="1" x14ac:dyDescent="0.35">
      <c r="A125">
        <v>125</v>
      </c>
      <c r="B125" s="50">
        <v>0</v>
      </c>
      <c r="C125" s="50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L125" t="s">
        <v>60</v>
      </c>
      <c r="N125">
        <v>0</v>
      </c>
      <c r="O125">
        <v>0</v>
      </c>
      <c r="P125">
        <v>0</v>
      </c>
    </row>
    <row r="126" spans="1:16" hidden="1" x14ac:dyDescent="0.35">
      <c r="A126">
        <v>126</v>
      </c>
      <c r="B126" s="50">
        <v>0</v>
      </c>
      <c r="C126" s="50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L126" t="s">
        <v>60</v>
      </c>
      <c r="N126">
        <v>0</v>
      </c>
      <c r="O126">
        <v>0</v>
      </c>
      <c r="P126">
        <v>0</v>
      </c>
    </row>
    <row r="127" spans="1:16" hidden="1" x14ac:dyDescent="0.35">
      <c r="A127">
        <v>127</v>
      </c>
      <c r="B127" s="50">
        <v>0</v>
      </c>
      <c r="C127" s="50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L127" t="s">
        <v>60</v>
      </c>
      <c r="N127">
        <v>0</v>
      </c>
      <c r="O127">
        <v>0</v>
      </c>
      <c r="P127">
        <v>0</v>
      </c>
    </row>
    <row r="128" spans="1:16" hidden="1" x14ac:dyDescent="0.35">
      <c r="A128">
        <v>128</v>
      </c>
      <c r="B128" s="50">
        <v>0</v>
      </c>
      <c r="C128" s="50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L128" t="s">
        <v>60</v>
      </c>
      <c r="N128">
        <v>0</v>
      </c>
      <c r="O128">
        <v>0</v>
      </c>
      <c r="P128">
        <v>0</v>
      </c>
    </row>
    <row r="129" spans="1:16" hidden="1" x14ac:dyDescent="0.35">
      <c r="A129">
        <v>129</v>
      </c>
      <c r="B129" s="50">
        <v>0</v>
      </c>
      <c r="C129" s="50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L129" t="s">
        <v>60</v>
      </c>
      <c r="N129">
        <v>0</v>
      </c>
      <c r="O129">
        <v>0</v>
      </c>
      <c r="P129">
        <v>0</v>
      </c>
    </row>
    <row r="130" spans="1:16" hidden="1" x14ac:dyDescent="0.35">
      <c r="A130">
        <v>130</v>
      </c>
      <c r="B130" s="50">
        <v>0</v>
      </c>
      <c r="C130" s="5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L130" t="s">
        <v>60</v>
      </c>
      <c r="N130">
        <v>0</v>
      </c>
      <c r="O130">
        <v>0</v>
      </c>
      <c r="P130">
        <v>0</v>
      </c>
    </row>
    <row r="131" spans="1:16" hidden="1" x14ac:dyDescent="0.35">
      <c r="A131">
        <v>131</v>
      </c>
      <c r="B131" s="50">
        <v>0</v>
      </c>
      <c r="C131" s="50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L131" t="s">
        <v>60</v>
      </c>
      <c r="N131">
        <v>0</v>
      </c>
      <c r="O131">
        <v>0</v>
      </c>
      <c r="P131">
        <v>0</v>
      </c>
    </row>
    <row r="132" spans="1:16" hidden="1" x14ac:dyDescent="0.35">
      <c r="A132">
        <v>132</v>
      </c>
      <c r="B132" s="50">
        <v>0</v>
      </c>
      <c r="C132" s="50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 t="s">
        <v>60</v>
      </c>
      <c r="N132">
        <v>0</v>
      </c>
      <c r="O132">
        <v>0</v>
      </c>
      <c r="P132">
        <v>0</v>
      </c>
    </row>
    <row r="133" spans="1:16" hidden="1" x14ac:dyDescent="0.35">
      <c r="A133">
        <v>133</v>
      </c>
      <c r="B133" s="50">
        <v>0</v>
      </c>
      <c r="C133" s="50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s">
        <v>60</v>
      </c>
      <c r="N133">
        <v>0</v>
      </c>
      <c r="O133">
        <v>0</v>
      </c>
      <c r="P133">
        <v>0</v>
      </c>
    </row>
    <row r="134" spans="1:16" hidden="1" x14ac:dyDescent="0.35">
      <c r="A134">
        <v>134</v>
      </c>
      <c r="B134" s="50">
        <v>0</v>
      </c>
      <c r="C134" s="50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L134" t="s">
        <v>60</v>
      </c>
      <c r="N134">
        <v>0</v>
      </c>
      <c r="O134">
        <v>0</v>
      </c>
      <c r="P134">
        <v>0</v>
      </c>
    </row>
    <row r="135" spans="1:16" hidden="1" x14ac:dyDescent="0.35">
      <c r="A135">
        <v>135</v>
      </c>
      <c r="B135" s="50">
        <v>0</v>
      </c>
      <c r="C135" s="50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L135" t="s">
        <v>60</v>
      </c>
      <c r="N135">
        <v>0</v>
      </c>
      <c r="O135">
        <v>0</v>
      </c>
      <c r="P135">
        <v>0</v>
      </c>
    </row>
    <row r="136" spans="1:16" hidden="1" x14ac:dyDescent="0.35">
      <c r="A136">
        <v>136</v>
      </c>
      <c r="B136" s="50">
        <v>0</v>
      </c>
      <c r="C136" s="50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L136" t="s">
        <v>60</v>
      </c>
      <c r="N136">
        <v>0</v>
      </c>
      <c r="O136">
        <v>0</v>
      </c>
      <c r="P136">
        <v>0</v>
      </c>
    </row>
    <row r="137" spans="1:16" hidden="1" x14ac:dyDescent="0.35">
      <c r="A137">
        <v>137</v>
      </c>
      <c r="B137" s="50">
        <v>0</v>
      </c>
      <c r="C137" s="50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L137" t="s">
        <v>60</v>
      </c>
      <c r="N137">
        <v>0</v>
      </c>
      <c r="O137">
        <v>0</v>
      </c>
      <c r="P137">
        <v>0</v>
      </c>
    </row>
    <row r="138" spans="1:16" hidden="1" x14ac:dyDescent="0.35">
      <c r="A138">
        <v>138</v>
      </c>
      <c r="B138" s="50">
        <v>0</v>
      </c>
      <c r="C138" s="50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0</v>
      </c>
      <c r="L138" t="s">
        <v>60</v>
      </c>
      <c r="N138">
        <v>0</v>
      </c>
      <c r="O138">
        <v>0</v>
      </c>
      <c r="P138">
        <v>0</v>
      </c>
    </row>
    <row r="139" spans="1:16" hidden="1" x14ac:dyDescent="0.35">
      <c r="A139">
        <v>139</v>
      </c>
      <c r="B139" s="50">
        <v>0</v>
      </c>
      <c r="C139" s="50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3</v>
      </c>
      <c r="J139">
        <v>0</v>
      </c>
      <c r="L139" t="s">
        <v>60</v>
      </c>
      <c r="N139">
        <v>0</v>
      </c>
      <c r="O139">
        <v>0</v>
      </c>
      <c r="P139">
        <v>0</v>
      </c>
    </row>
    <row r="140" spans="1:16" hidden="1" x14ac:dyDescent="0.35">
      <c r="A140">
        <v>140</v>
      </c>
      <c r="B140" s="50">
        <v>0</v>
      </c>
      <c r="C140" s="5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4</v>
      </c>
      <c r="J140">
        <v>0</v>
      </c>
      <c r="L140" t="s">
        <v>60</v>
      </c>
      <c r="N140">
        <v>0</v>
      </c>
      <c r="O140">
        <v>0</v>
      </c>
      <c r="P140">
        <v>0</v>
      </c>
    </row>
    <row r="141" spans="1:16" hidden="1" x14ac:dyDescent="0.35">
      <c r="A141">
        <v>141</v>
      </c>
      <c r="B141" s="50">
        <v>0</v>
      </c>
      <c r="C141" s="50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5</v>
      </c>
      <c r="J141">
        <v>0</v>
      </c>
      <c r="L141" t="s">
        <v>60</v>
      </c>
      <c r="N141">
        <v>0</v>
      </c>
      <c r="O141">
        <v>0</v>
      </c>
      <c r="P141">
        <v>0</v>
      </c>
    </row>
    <row r="142" spans="1:16" hidden="1" x14ac:dyDescent="0.35">
      <c r="A142">
        <v>142</v>
      </c>
      <c r="B142" s="50">
        <v>0</v>
      </c>
      <c r="C142" s="50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6</v>
      </c>
      <c r="J142">
        <v>0</v>
      </c>
      <c r="L142" t="s">
        <v>60</v>
      </c>
      <c r="N142">
        <v>0</v>
      </c>
      <c r="O142">
        <v>0</v>
      </c>
      <c r="P142">
        <v>0</v>
      </c>
    </row>
    <row r="143" spans="1:16" hidden="1" x14ac:dyDescent="0.35">
      <c r="A143">
        <v>143</v>
      </c>
      <c r="B143" s="50">
        <v>0</v>
      </c>
      <c r="C143" s="50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7</v>
      </c>
      <c r="J143">
        <v>0</v>
      </c>
      <c r="L143" t="s">
        <v>60</v>
      </c>
      <c r="N143">
        <v>0</v>
      </c>
      <c r="O143">
        <v>0</v>
      </c>
      <c r="P143">
        <v>0</v>
      </c>
    </row>
    <row r="144" spans="1:16" hidden="1" x14ac:dyDescent="0.35">
      <c r="A144">
        <v>144</v>
      </c>
      <c r="B144" s="50">
        <v>0</v>
      </c>
      <c r="C144" s="50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8</v>
      </c>
      <c r="J144">
        <v>0</v>
      </c>
      <c r="L144" t="s">
        <v>60</v>
      </c>
      <c r="N144">
        <v>0</v>
      </c>
      <c r="O144">
        <v>0</v>
      </c>
      <c r="P144">
        <v>0</v>
      </c>
    </row>
    <row r="145" spans="1:16" hidden="1" x14ac:dyDescent="0.35">
      <c r="A145">
        <v>145</v>
      </c>
      <c r="B145" s="50">
        <v>0</v>
      </c>
      <c r="C145" s="50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9</v>
      </c>
      <c r="J145">
        <v>0</v>
      </c>
      <c r="L145" t="s">
        <v>60</v>
      </c>
      <c r="N145">
        <v>0</v>
      </c>
      <c r="O145">
        <v>0</v>
      </c>
      <c r="P145">
        <v>0</v>
      </c>
    </row>
    <row r="146" spans="1:16" hidden="1" x14ac:dyDescent="0.35">
      <c r="A146">
        <v>146</v>
      </c>
      <c r="B146" s="50">
        <v>0</v>
      </c>
      <c r="C146" s="50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10</v>
      </c>
      <c r="J146">
        <v>0</v>
      </c>
      <c r="L146" t="s">
        <v>60</v>
      </c>
      <c r="N146">
        <v>0</v>
      </c>
      <c r="O146">
        <v>0</v>
      </c>
      <c r="P146">
        <v>0</v>
      </c>
    </row>
    <row r="147" spans="1:16" hidden="1" x14ac:dyDescent="0.35">
      <c r="A147">
        <v>147</v>
      </c>
      <c r="B147" s="50">
        <v>0</v>
      </c>
      <c r="C147" s="50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11</v>
      </c>
      <c r="J147">
        <v>0</v>
      </c>
      <c r="L147" t="s">
        <v>60</v>
      </c>
      <c r="N147">
        <v>0</v>
      </c>
      <c r="O147">
        <v>0</v>
      </c>
      <c r="P147">
        <v>0</v>
      </c>
    </row>
    <row r="148" spans="1:16" hidden="1" x14ac:dyDescent="0.35">
      <c r="A148">
        <v>148</v>
      </c>
      <c r="B148" s="50">
        <v>0</v>
      </c>
      <c r="C148" s="50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12</v>
      </c>
      <c r="J148">
        <v>0</v>
      </c>
      <c r="L148" t="s">
        <v>60</v>
      </c>
      <c r="N148">
        <v>0</v>
      </c>
      <c r="O148">
        <v>0</v>
      </c>
      <c r="P148">
        <v>0</v>
      </c>
    </row>
    <row r="149" spans="1:16" hidden="1" x14ac:dyDescent="0.35">
      <c r="A149">
        <v>149</v>
      </c>
      <c r="B149" s="50">
        <v>0</v>
      </c>
      <c r="C149" s="50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13</v>
      </c>
      <c r="J149">
        <v>0</v>
      </c>
      <c r="L149" t="s">
        <v>60</v>
      </c>
      <c r="N149">
        <v>0</v>
      </c>
      <c r="O149">
        <v>0</v>
      </c>
      <c r="P149">
        <v>0</v>
      </c>
    </row>
    <row r="150" spans="1:16" hidden="1" x14ac:dyDescent="0.35">
      <c r="A150">
        <v>150</v>
      </c>
      <c r="B150" s="50">
        <v>0</v>
      </c>
      <c r="C150" s="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14</v>
      </c>
      <c r="J150">
        <v>0</v>
      </c>
      <c r="L150" t="s">
        <v>60</v>
      </c>
      <c r="N150">
        <v>0</v>
      </c>
      <c r="O150">
        <v>0</v>
      </c>
      <c r="P150">
        <v>0</v>
      </c>
    </row>
    <row r="151" spans="1:16" hidden="1" x14ac:dyDescent="0.35">
      <c r="A151">
        <v>151</v>
      </c>
      <c r="B151" s="50">
        <v>0</v>
      </c>
      <c r="C151" s="50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15</v>
      </c>
      <c r="J151">
        <v>0</v>
      </c>
      <c r="L151" t="s">
        <v>60</v>
      </c>
      <c r="N151">
        <v>0</v>
      </c>
      <c r="O151">
        <v>0</v>
      </c>
      <c r="P151">
        <v>0</v>
      </c>
    </row>
    <row r="152" spans="1:16" hidden="1" x14ac:dyDescent="0.35">
      <c r="A152">
        <v>152</v>
      </c>
      <c r="B152" s="50">
        <v>0</v>
      </c>
      <c r="C152" s="50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16</v>
      </c>
      <c r="J152">
        <v>0</v>
      </c>
      <c r="L152" t="s">
        <v>60</v>
      </c>
      <c r="N152">
        <v>0</v>
      </c>
      <c r="O152">
        <v>0</v>
      </c>
      <c r="P152">
        <v>0</v>
      </c>
    </row>
    <row r="153" spans="1:16" hidden="1" x14ac:dyDescent="0.35">
      <c r="A153">
        <v>153</v>
      </c>
      <c r="B153" s="50">
        <v>0</v>
      </c>
      <c r="C153" s="50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17</v>
      </c>
      <c r="J153">
        <v>0</v>
      </c>
      <c r="L153" t="s">
        <v>60</v>
      </c>
      <c r="N153">
        <v>0</v>
      </c>
      <c r="O153">
        <v>0</v>
      </c>
      <c r="P153">
        <v>0</v>
      </c>
    </row>
    <row r="154" spans="1:16" hidden="1" x14ac:dyDescent="0.35">
      <c r="A154">
        <v>154</v>
      </c>
      <c r="B154" s="50">
        <v>0</v>
      </c>
      <c r="C154" s="50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18</v>
      </c>
      <c r="J154">
        <v>0</v>
      </c>
      <c r="L154" t="s">
        <v>60</v>
      </c>
      <c r="N154">
        <v>0</v>
      </c>
      <c r="O154">
        <v>0</v>
      </c>
      <c r="P154">
        <v>0</v>
      </c>
    </row>
    <row r="155" spans="1:16" hidden="1" x14ac:dyDescent="0.35">
      <c r="A155">
        <v>155</v>
      </c>
      <c r="B155" s="50">
        <v>0</v>
      </c>
      <c r="C155" s="50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19</v>
      </c>
      <c r="J155">
        <v>0</v>
      </c>
      <c r="L155" t="s">
        <v>60</v>
      </c>
      <c r="N155">
        <v>0</v>
      </c>
      <c r="O155">
        <v>0</v>
      </c>
      <c r="P155">
        <v>0</v>
      </c>
    </row>
    <row r="156" spans="1:16" hidden="1" x14ac:dyDescent="0.35">
      <c r="A156">
        <v>156</v>
      </c>
      <c r="B156" s="50">
        <v>0</v>
      </c>
      <c r="C156" s="50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20</v>
      </c>
      <c r="J156">
        <v>0</v>
      </c>
      <c r="L156" t="s">
        <v>60</v>
      </c>
      <c r="N156">
        <v>0</v>
      </c>
      <c r="O156">
        <v>0</v>
      </c>
      <c r="P156">
        <v>0</v>
      </c>
    </row>
    <row r="157" spans="1:16" hidden="1" x14ac:dyDescent="0.35">
      <c r="A157">
        <v>157</v>
      </c>
      <c r="B157" s="50">
        <v>0</v>
      </c>
      <c r="C157" s="50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21</v>
      </c>
      <c r="J157">
        <v>0</v>
      </c>
      <c r="L157" t="s">
        <v>60</v>
      </c>
      <c r="N157">
        <v>0</v>
      </c>
      <c r="O157">
        <v>0</v>
      </c>
      <c r="P157">
        <v>0</v>
      </c>
    </row>
    <row r="158" spans="1:16" hidden="1" x14ac:dyDescent="0.35">
      <c r="A158">
        <v>158</v>
      </c>
      <c r="B158" s="50">
        <v>0</v>
      </c>
      <c r="C158" s="50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22</v>
      </c>
      <c r="J158">
        <v>0</v>
      </c>
      <c r="L158" t="s">
        <v>60</v>
      </c>
      <c r="N158">
        <v>0</v>
      </c>
      <c r="O158">
        <v>0</v>
      </c>
      <c r="P158">
        <v>0</v>
      </c>
    </row>
    <row r="159" spans="1:16" hidden="1" x14ac:dyDescent="0.35">
      <c r="A159">
        <v>159</v>
      </c>
      <c r="B159" s="50">
        <v>0</v>
      </c>
      <c r="C159" s="50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23</v>
      </c>
      <c r="J159">
        <v>0</v>
      </c>
      <c r="L159" t="s">
        <v>60</v>
      </c>
      <c r="N159">
        <v>0</v>
      </c>
      <c r="O159">
        <v>0</v>
      </c>
      <c r="P159">
        <v>0</v>
      </c>
    </row>
    <row r="160" spans="1:16" hidden="1" x14ac:dyDescent="0.35">
      <c r="A160">
        <v>160</v>
      </c>
      <c r="B160" s="50">
        <v>0</v>
      </c>
      <c r="C160" s="5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24</v>
      </c>
      <c r="J160">
        <v>0</v>
      </c>
      <c r="L160" t="s">
        <v>60</v>
      </c>
      <c r="N160">
        <v>0</v>
      </c>
      <c r="O160">
        <v>0</v>
      </c>
      <c r="P160">
        <v>0</v>
      </c>
    </row>
    <row r="161" spans="1:16" hidden="1" x14ac:dyDescent="0.35">
      <c r="A161">
        <v>161</v>
      </c>
      <c r="B161" s="50">
        <v>0</v>
      </c>
      <c r="C161" s="50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25</v>
      </c>
      <c r="J161">
        <v>0</v>
      </c>
      <c r="L161" t="s">
        <v>60</v>
      </c>
      <c r="N161">
        <v>0</v>
      </c>
      <c r="O161">
        <v>0</v>
      </c>
      <c r="P161">
        <v>0</v>
      </c>
    </row>
    <row r="162" spans="1:16" hidden="1" x14ac:dyDescent="0.35">
      <c r="A162">
        <v>162</v>
      </c>
      <c r="B162" s="50">
        <v>0</v>
      </c>
      <c r="C162" s="50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26</v>
      </c>
      <c r="J162">
        <v>0</v>
      </c>
      <c r="L162" t="s">
        <v>60</v>
      </c>
      <c r="N162">
        <v>0</v>
      </c>
      <c r="O162">
        <v>0</v>
      </c>
      <c r="P162">
        <v>0</v>
      </c>
    </row>
    <row r="163" spans="1:16" hidden="1" x14ac:dyDescent="0.35">
      <c r="A163">
        <v>163</v>
      </c>
      <c r="B163" s="50">
        <v>0</v>
      </c>
      <c r="C163" s="50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27</v>
      </c>
      <c r="J163">
        <v>0</v>
      </c>
      <c r="L163" t="s">
        <v>60</v>
      </c>
      <c r="N163">
        <v>0</v>
      </c>
      <c r="O163">
        <v>0</v>
      </c>
      <c r="P163">
        <v>0</v>
      </c>
    </row>
    <row r="164" spans="1:16" hidden="1" x14ac:dyDescent="0.35">
      <c r="A164">
        <v>164</v>
      </c>
      <c r="B164" s="50">
        <v>0</v>
      </c>
      <c r="C164" s="50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28</v>
      </c>
      <c r="J164">
        <v>0</v>
      </c>
      <c r="L164" t="s">
        <v>60</v>
      </c>
      <c r="N164">
        <v>0</v>
      </c>
      <c r="O164">
        <v>0</v>
      </c>
      <c r="P164">
        <v>0</v>
      </c>
    </row>
    <row r="165" spans="1:16" hidden="1" x14ac:dyDescent="0.35">
      <c r="A165">
        <v>165</v>
      </c>
      <c r="B165" s="50">
        <v>0</v>
      </c>
      <c r="C165" s="50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29</v>
      </c>
      <c r="J165">
        <v>0</v>
      </c>
      <c r="L165" t="s">
        <v>60</v>
      </c>
      <c r="N165">
        <v>0</v>
      </c>
      <c r="O165">
        <v>0</v>
      </c>
      <c r="P165">
        <v>0</v>
      </c>
    </row>
    <row r="166" spans="1:16" hidden="1" x14ac:dyDescent="0.35">
      <c r="A166">
        <v>166</v>
      </c>
      <c r="B166" s="50">
        <v>0</v>
      </c>
      <c r="C166" s="50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30</v>
      </c>
      <c r="J166">
        <v>0</v>
      </c>
      <c r="L166" t="s">
        <v>60</v>
      </c>
      <c r="N166">
        <v>0</v>
      </c>
      <c r="O166">
        <v>0</v>
      </c>
      <c r="P166">
        <v>0</v>
      </c>
    </row>
    <row r="167" spans="1:16" hidden="1" x14ac:dyDescent="0.35">
      <c r="A167">
        <v>167</v>
      </c>
      <c r="B167" s="50">
        <v>0</v>
      </c>
      <c r="C167" s="50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31</v>
      </c>
      <c r="J167">
        <v>0</v>
      </c>
      <c r="L167" t="s">
        <v>60</v>
      </c>
      <c r="N167">
        <v>0</v>
      </c>
      <c r="O167">
        <v>0</v>
      </c>
      <c r="P167">
        <v>0</v>
      </c>
    </row>
    <row r="168" spans="1:16" hidden="1" x14ac:dyDescent="0.35">
      <c r="A168">
        <v>168</v>
      </c>
      <c r="B168" s="50">
        <v>0</v>
      </c>
      <c r="C168" s="50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32</v>
      </c>
      <c r="J168">
        <v>0</v>
      </c>
      <c r="L168" t="s">
        <v>60</v>
      </c>
      <c r="N168">
        <v>0</v>
      </c>
      <c r="O168">
        <v>0</v>
      </c>
      <c r="P168">
        <v>0</v>
      </c>
    </row>
    <row r="169" spans="1:16" hidden="1" x14ac:dyDescent="0.35">
      <c r="A169">
        <v>169</v>
      </c>
      <c r="B169" s="50">
        <v>0</v>
      </c>
      <c r="C169" s="50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33</v>
      </c>
      <c r="J169">
        <v>0</v>
      </c>
      <c r="L169" t="s">
        <v>60</v>
      </c>
      <c r="N169">
        <v>0</v>
      </c>
      <c r="O169">
        <v>0</v>
      </c>
      <c r="P169">
        <v>0</v>
      </c>
    </row>
    <row r="170" spans="1:16" hidden="1" x14ac:dyDescent="0.35">
      <c r="A170">
        <v>170</v>
      </c>
      <c r="B170" s="50">
        <v>0</v>
      </c>
      <c r="C170" s="5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34</v>
      </c>
      <c r="J170">
        <v>0</v>
      </c>
      <c r="L170" t="s">
        <v>60</v>
      </c>
      <c r="N170">
        <v>0</v>
      </c>
      <c r="O170">
        <v>0</v>
      </c>
      <c r="P170">
        <v>0</v>
      </c>
    </row>
    <row r="171" spans="1:16" hidden="1" x14ac:dyDescent="0.35">
      <c r="A171">
        <v>171</v>
      </c>
      <c r="B171" s="50">
        <v>0</v>
      </c>
      <c r="C171" s="50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35</v>
      </c>
      <c r="J171">
        <v>0</v>
      </c>
      <c r="L171" t="s">
        <v>60</v>
      </c>
      <c r="N171">
        <v>0</v>
      </c>
      <c r="O171">
        <v>0</v>
      </c>
      <c r="P171">
        <v>0</v>
      </c>
    </row>
    <row r="172" spans="1:16" hidden="1" x14ac:dyDescent="0.35">
      <c r="A172">
        <v>172</v>
      </c>
      <c r="B172" s="50">
        <v>0</v>
      </c>
      <c r="C172" s="50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36</v>
      </c>
      <c r="J172">
        <v>0</v>
      </c>
      <c r="L172" t="s">
        <v>60</v>
      </c>
      <c r="N172">
        <v>0</v>
      </c>
      <c r="O172">
        <v>0</v>
      </c>
      <c r="P172">
        <v>0</v>
      </c>
    </row>
    <row r="173" spans="1:16" hidden="1" x14ac:dyDescent="0.35">
      <c r="A173">
        <v>173</v>
      </c>
      <c r="B173" s="50">
        <v>0</v>
      </c>
      <c r="C173" s="50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37</v>
      </c>
      <c r="J173">
        <v>0</v>
      </c>
      <c r="L173" t="s">
        <v>60</v>
      </c>
      <c r="N173">
        <v>0</v>
      </c>
      <c r="O173">
        <v>0</v>
      </c>
      <c r="P173">
        <v>0</v>
      </c>
    </row>
    <row r="174" spans="1:16" hidden="1" x14ac:dyDescent="0.35">
      <c r="A174">
        <v>174</v>
      </c>
      <c r="B174" s="50">
        <v>0</v>
      </c>
      <c r="C174" s="50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38</v>
      </c>
      <c r="J174">
        <v>0</v>
      </c>
      <c r="L174" t="s">
        <v>60</v>
      </c>
      <c r="N174">
        <v>0</v>
      </c>
      <c r="O174">
        <v>0</v>
      </c>
      <c r="P174">
        <v>0</v>
      </c>
    </row>
    <row r="175" spans="1:16" hidden="1" x14ac:dyDescent="0.35">
      <c r="A175">
        <v>175</v>
      </c>
      <c r="B175" s="50">
        <v>0</v>
      </c>
      <c r="C175" s="50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39</v>
      </c>
      <c r="J175">
        <v>0</v>
      </c>
      <c r="L175" t="s">
        <v>60</v>
      </c>
      <c r="N175">
        <v>0</v>
      </c>
      <c r="O175">
        <v>0</v>
      </c>
      <c r="P175">
        <v>0</v>
      </c>
    </row>
    <row r="176" spans="1:16" hidden="1" x14ac:dyDescent="0.35">
      <c r="A176">
        <v>176</v>
      </c>
      <c r="B176" s="50">
        <v>0</v>
      </c>
      <c r="C176" s="50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40</v>
      </c>
      <c r="J176">
        <v>0</v>
      </c>
      <c r="L176" t="s">
        <v>60</v>
      </c>
      <c r="N176">
        <v>0</v>
      </c>
      <c r="O176">
        <v>0</v>
      </c>
      <c r="P176">
        <v>0</v>
      </c>
    </row>
    <row r="177" spans="1:16" hidden="1" x14ac:dyDescent="0.35">
      <c r="A177">
        <v>177</v>
      </c>
      <c r="B177" s="50">
        <v>0</v>
      </c>
      <c r="C177" s="50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41</v>
      </c>
      <c r="J177">
        <v>0</v>
      </c>
      <c r="L177" t="s">
        <v>60</v>
      </c>
      <c r="N177">
        <v>0</v>
      </c>
      <c r="O177">
        <v>0</v>
      </c>
      <c r="P177">
        <v>0</v>
      </c>
    </row>
    <row r="178" spans="1:16" hidden="1" x14ac:dyDescent="0.35">
      <c r="A178">
        <v>178</v>
      </c>
      <c r="B178" s="50">
        <v>0</v>
      </c>
      <c r="C178" s="50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42</v>
      </c>
      <c r="J178">
        <v>0</v>
      </c>
      <c r="L178" t="s">
        <v>60</v>
      </c>
      <c r="N178">
        <v>0</v>
      </c>
      <c r="O178">
        <v>0</v>
      </c>
      <c r="P178">
        <v>0</v>
      </c>
    </row>
    <row r="179" spans="1:16" hidden="1" x14ac:dyDescent="0.35">
      <c r="A179">
        <v>179</v>
      </c>
      <c r="B179" s="50">
        <v>0</v>
      </c>
      <c r="C179" s="50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43</v>
      </c>
      <c r="J179">
        <v>0</v>
      </c>
      <c r="L179" t="s">
        <v>60</v>
      </c>
      <c r="N179">
        <v>0</v>
      </c>
      <c r="O179">
        <v>0</v>
      </c>
      <c r="P179">
        <v>0</v>
      </c>
    </row>
    <row r="180" spans="1:16" hidden="1" x14ac:dyDescent="0.35">
      <c r="A180">
        <v>180</v>
      </c>
      <c r="B180" s="50">
        <v>0</v>
      </c>
      <c r="C180" s="5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44</v>
      </c>
      <c r="J180">
        <v>0</v>
      </c>
      <c r="L180" t="s">
        <v>60</v>
      </c>
      <c r="N180">
        <v>0</v>
      </c>
      <c r="O180">
        <v>0</v>
      </c>
      <c r="P180">
        <v>0</v>
      </c>
    </row>
    <row r="181" spans="1:16" hidden="1" x14ac:dyDescent="0.35">
      <c r="A181">
        <v>181</v>
      </c>
      <c r="B181" s="50">
        <v>0</v>
      </c>
      <c r="C181" s="50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45</v>
      </c>
      <c r="J181">
        <v>0</v>
      </c>
      <c r="L181" t="s">
        <v>60</v>
      </c>
      <c r="N181">
        <v>0</v>
      </c>
      <c r="O181">
        <v>0</v>
      </c>
      <c r="P181">
        <v>0</v>
      </c>
    </row>
    <row r="182" spans="1:16" hidden="1" x14ac:dyDescent="0.35">
      <c r="A182">
        <v>182</v>
      </c>
      <c r="B182" s="50">
        <v>0</v>
      </c>
      <c r="C182" s="50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46</v>
      </c>
      <c r="J182">
        <v>0</v>
      </c>
      <c r="L182" t="s">
        <v>60</v>
      </c>
      <c r="N182">
        <v>0</v>
      </c>
      <c r="O182">
        <v>0</v>
      </c>
      <c r="P182">
        <v>0</v>
      </c>
    </row>
    <row r="183" spans="1:16" hidden="1" x14ac:dyDescent="0.35">
      <c r="A183">
        <v>183</v>
      </c>
      <c r="B183" s="50">
        <v>0</v>
      </c>
      <c r="C183" s="50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47</v>
      </c>
      <c r="J183">
        <v>0</v>
      </c>
      <c r="L183" t="s">
        <v>60</v>
      </c>
      <c r="N183">
        <v>0</v>
      </c>
      <c r="O183">
        <v>0</v>
      </c>
      <c r="P183">
        <v>0</v>
      </c>
    </row>
    <row r="184" spans="1:16" hidden="1" x14ac:dyDescent="0.35">
      <c r="A184">
        <v>184</v>
      </c>
      <c r="B184" s="50">
        <v>0</v>
      </c>
      <c r="C184" s="50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48</v>
      </c>
      <c r="J184">
        <v>0</v>
      </c>
      <c r="L184" t="s">
        <v>60</v>
      </c>
      <c r="N184">
        <v>0</v>
      </c>
      <c r="O184">
        <v>0</v>
      </c>
      <c r="P184">
        <v>0</v>
      </c>
    </row>
    <row r="185" spans="1:16" hidden="1" x14ac:dyDescent="0.35">
      <c r="A185">
        <v>185</v>
      </c>
      <c r="B185" s="50">
        <v>0</v>
      </c>
      <c r="C185" s="50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49</v>
      </c>
      <c r="J185">
        <v>0</v>
      </c>
      <c r="L185" t="s">
        <v>60</v>
      </c>
      <c r="N185">
        <v>0</v>
      </c>
      <c r="O185">
        <v>0</v>
      </c>
      <c r="P185">
        <v>0</v>
      </c>
    </row>
    <row r="186" spans="1:16" hidden="1" x14ac:dyDescent="0.35">
      <c r="A186">
        <v>186</v>
      </c>
      <c r="B186" s="50">
        <v>0</v>
      </c>
      <c r="C186" s="50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50</v>
      </c>
      <c r="J186">
        <v>0</v>
      </c>
      <c r="L186" t="s">
        <v>60</v>
      </c>
      <c r="N186">
        <v>0</v>
      </c>
      <c r="O186">
        <v>0</v>
      </c>
      <c r="P186">
        <v>0</v>
      </c>
    </row>
    <row r="187" spans="1:16" hidden="1" x14ac:dyDescent="0.35">
      <c r="A187">
        <v>187</v>
      </c>
      <c r="B187" s="50">
        <v>0</v>
      </c>
      <c r="C187" s="50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51</v>
      </c>
      <c r="J187">
        <v>0</v>
      </c>
      <c r="L187" t="s">
        <v>60</v>
      </c>
      <c r="N187">
        <v>0</v>
      </c>
      <c r="O187">
        <v>0</v>
      </c>
      <c r="P187">
        <v>0</v>
      </c>
    </row>
    <row r="188" spans="1:16" hidden="1" x14ac:dyDescent="0.35">
      <c r="A188">
        <v>188</v>
      </c>
      <c r="B188" s="50">
        <v>0</v>
      </c>
      <c r="C188" s="50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52</v>
      </c>
      <c r="J188">
        <v>0</v>
      </c>
      <c r="L188" t="s">
        <v>60</v>
      </c>
      <c r="N188">
        <v>0</v>
      </c>
      <c r="O188">
        <v>0</v>
      </c>
      <c r="P188">
        <v>0</v>
      </c>
    </row>
    <row r="189" spans="1:16" hidden="1" x14ac:dyDescent="0.35">
      <c r="A189">
        <v>189</v>
      </c>
      <c r="B189" s="50">
        <v>0</v>
      </c>
      <c r="C189" s="50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53</v>
      </c>
      <c r="J189">
        <v>0</v>
      </c>
      <c r="L189" t="s">
        <v>60</v>
      </c>
      <c r="N189">
        <v>0</v>
      </c>
      <c r="O189">
        <v>0</v>
      </c>
      <c r="P189">
        <v>0</v>
      </c>
    </row>
    <row r="190" spans="1:16" hidden="1" x14ac:dyDescent="0.35">
      <c r="A190">
        <v>190</v>
      </c>
      <c r="B190" s="50">
        <v>0</v>
      </c>
      <c r="C190" s="5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54</v>
      </c>
      <c r="J190">
        <v>0</v>
      </c>
      <c r="L190" t="s">
        <v>60</v>
      </c>
      <c r="N190">
        <v>0</v>
      </c>
      <c r="O190">
        <v>0</v>
      </c>
      <c r="P190">
        <v>0</v>
      </c>
    </row>
    <row r="191" spans="1:16" hidden="1" x14ac:dyDescent="0.35">
      <c r="A191">
        <v>191</v>
      </c>
      <c r="B191" s="50">
        <v>0</v>
      </c>
      <c r="C191" s="50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55</v>
      </c>
      <c r="J191">
        <v>0</v>
      </c>
      <c r="L191" t="s">
        <v>60</v>
      </c>
      <c r="N191">
        <v>0</v>
      </c>
      <c r="O191">
        <v>0</v>
      </c>
      <c r="P191">
        <v>0</v>
      </c>
    </row>
    <row r="192" spans="1:16" hidden="1" x14ac:dyDescent="0.35">
      <c r="A192">
        <v>192</v>
      </c>
      <c r="B192" s="50">
        <v>0</v>
      </c>
      <c r="C192" s="50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56</v>
      </c>
      <c r="J192">
        <v>0</v>
      </c>
      <c r="L192" t="s">
        <v>60</v>
      </c>
      <c r="N192">
        <v>0</v>
      </c>
      <c r="O192">
        <v>0</v>
      </c>
      <c r="P192">
        <v>0</v>
      </c>
    </row>
    <row r="193" spans="1:16" hidden="1" x14ac:dyDescent="0.35">
      <c r="A193">
        <v>193</v>
      </c>
      <c r="B193" s="50">
        <v>0</v>
      </c>
      <c r="C193" s="50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57</v>
      </c>
      <c r="J193">
        <v>0</v>
      </c>
      <c r="L193" t="s">
        <v>60</v>
      </c>
      <c r="N193">
        <v>0</v>
      </c>
      <c r="O193">
        <v>0</v>
      </c>
      <c r="P193">
        <v>0</v>
      </c>
    </row>
    <row r="194" spans="1:16" hidden="1" x14ac:dyDescent="0.35">
      <c r="A194">
        <v>194</v>
      </c>
      <c r="B194" s="50">
        <v>0</v>
      </c>
      <c r="C194" s="50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58</v>
      </c>
      <c r="J194">
        <v>0</v>
      </c>
      <c r="L194" t="s">
        <v>60</v>
      </c>
      <c r="N194">
        <v>0</v>
      </c>
      <c r="O194">
        <v>0</v>
      </c>
      <c r="P194">
        <v>0</v>
      </c>
    </row>
    <row r="195" spans="1:16" hidden="1" x14ac:dyDescent="0.35">
      <c r="A195">
        <v>195</v>
      </c>
      <c r="B195" s="50">
        <v>0</v>
      </c>
      <c r="C195" s="50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59</v>
      </c>
      <c r="J195">
        <v>0</v>
      </c>
      <c r="L195" t="s">
        <v>60</v>
      </c>
      <c r="N195">
        <v>0</v>
      </c>
      <c r="O195">
        <v>0</v>
      </c>
      <c r="P195">
        <v>0</v>
      </c>
    </row>
    <row r="196" spans="1:16" hidden="1" x14ac:dyDescent="0.35">
      <c r="A196">
        <v>196</v>
      </c>
      <c r="B196" s="50">
        <v>0</v>
      </c>
      <c r="C196" s="50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60</v>
      </c>
      <c r="J196">
        <v>0</v>
      </c>
      <c r="L196" t="s">
        <v>60</v>
      </c>
      <c r="N196">
        <v>0</v>
      </c>
      <c r="O196">
        <v>0</v>
      </c>
      <c r="P196">
        <v>0</v>
      </c>
    </row>
    <row r="197" spans="1:16" hidden="1" x14ac:dyDescent="0.35">
      <c r="A197">
        <v>197</v>
      </c>
      <c r="B197" s="50">
        <v>0</v>
      </c>
      <c r="C197" s="50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61</v>
      </c>
      <c r="J197">
        <v>0</v>
      </c>
      <c r="L197" t="s">
        <v>60</v>
      </c>
      <c r="N197">
        <v>0</v>
      </c>
      <c r="O197">
        <v>0</v>
      </c>
      <c r="P197">
        <v>0</v>
      </c>
    </row>
    <row r="198" spans="1:16" hidden="1" x14ac:dyDescent="0.35">
      <c r="A198">
        <v>198</v>
      </c>
      <c r="B198" s="50">
        <v>0</v>
      </c>
      <c r="C198" s="50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62</v>
      </c>
      <c r="J198">
        <v>0</v>
      </c>
      <c r="L198" t="s">
        <v>60</v>
      </c>
      <c r="N198">
        <v>0</v>
      </c>
      <c r="O198">
        <v>0</v>
      </c>
      <c r="P198">
        <v>0</v>
      </c>
    </row>
    <row r="199" spans="1:16" hidden="1" x14ac:dyDescent="0.35">
      <c r="A199">
        <v>199</v>
      </c>
      <c r="B199" s="50">
        <v>0</v>
      </c>
      <c r="C199" s="50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63</v>
      </c>
      <c r="J199">
        <v>0</v>
      </c>
      <c r="L199" t="s">
        <v>60</v>
      </c>
      <c r="N199">
        <v>0</v>
      </c>
      <c r="O199">
        <v>0</v>
      </c>
      <c r="P199">
        <v>0</v>
      </c>
    </row>
    <row r="200" spans="1:16" hidden="1" x14ac:dyDescent="0.35">
      <c r="A200">
        <v>200</v>
      </c>
      <c r="B200" s="50">
        <v>0</v>
      </c>
      <c r="C200" s="5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64</v>
      </c>
      <c r="J200">
        <v>0</v>
      </c>
      <c r="L200" t="s">
        <v>60</v>
      </c>
      <c r="N200">
        <v>0</v>
      </c>
      <c r="O200">
        <v>0</v>
      </c>
      <c r="P200">
        <v>0</v>
      </c>
    </row>
    <row r="201" spans="1:16" hidden="1" x14ac:dyDescent="0.35">
      <c r="A201">
        <v>201</v>
      </c>
      <c r="B201" s="50">
        <v>0</v>
      </c>
      <c r="C201" s="50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65</v>
      </c>
      <c r="J201">
        <v>0</v>
      </c>
      <c r="L201" t="s">
        <v>60</v>
      </c>
      <c r="N201">
        <v>0</v>
      </c>
      <c r="O201">
        <v>0</v>
      </c>
      <c r="P201">
        <v>0</v>
      </c>
    </row>
    <row r="202" spans="1:16" hidden="1" x14ac:dyDescent="0.35">
      <c r="A202">
        <v>202</v>
      </c>
      <c r="B202" s="50">
        <v>0</v>
      </c>
      <c r="C202" s="50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66</v>
      </c>
      <c r="J202">
        <v>0</v>
      </c>
      <c r="L202" t="s">
        <v>60</v>
      </c>
      <c r="N202">
        <v>0</v>
      </c>
      <c r="O202">
        <v>0</v>
      </c>
      <c r="P202">
        <v>0</v>
      </c>
    </row>
    <row r="203" spans="1:16" hidden="1" x14ac:dyDescent="0.35">
      <c r="A203">
        <v>203</v>
      </c>
      <c r="B203" s="50">
        <v>0</v>
      </c>
      <c r="C203" s="50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67</v>
      </c>
      <c r="J203">
        <v>0</v>
      </c>
      <c r="L203" t="s">
        <v>60</v>
      </c>
      <c r="N203">
        <v>0</v>
      </c>
      <c r="O203">
        <v>0</v>
      </c>
      <c r="P203">
        <v>0</v>
      </c>
    </row>
    <row r="204" spans="1:16" hidden="1" x14ac:dyDescent="0.35">
      <c r="A204">
        <v>204</v>
      </c>
      <c r="B204" s="50">
        <v>0</v>
      </c>
      <c r="C204" s="50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68</v>
      </c>
      <c r="J204">
        <v>0</v>
      </c>
      <c r="L204" t="s">
        <v>60</v>
      </c>
      <c r="N204">
        <v>0</v>
      </c>
      <c r="O204">
        <v>0</v>
      </c>
      <c r="P204">
        <v>0</v>
      </c>
    </row>
    <row r="205" spans="1:16" hidden="1" x14ac:dyDescent="0.35">
      <c r="A205">
        <v>205</v>
      </c>
      <c r="B205" s="50">
        <v>0</v>
      </c>
      <c r="C205" s="50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69</v>
      </c>
      <c r="J205">
        <v>0</v>
      </c>
      <c r="L205" t="s">
        <v>60</v>
      </c>
      <c r="N205">
        <v>0</v>
      </c>
      <c r="O205">
        <v>0</v>
      </c>
      <c r="P205">
        <v>0</v>
      </c>
    </row>
    <row r="206" spans="1:16" hidden="1" x14ac:dyDescent="0.35">
      <c r="A206">
        <v>206</v>
      </c>
      <c r="B206" s="50">
        <v>0</v>
      </c>
      <c r="C206" s="50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70</v>
      </c>
      <c r="J206">
        <v>0</v>
      </c>
      <c r="L206" t="s">
        <v>60</v>
      </c>
      <c r="N206">
        <v>0</v>
      </c>
      <c r="O206">
        <v>0</v>
      </c>
      <c r="P206">
        <v>0</v>
      </c>
    </row>
    <row r="207" spans="1:16" hidden="1" x14ac:dyDescent="0.35">
      <c r="A207">
        <v>207</v>
      </c>
      <c r="B207" s="50">
        <v>0</v>
      </c>
      <c r="C207" s="50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71</v>
      </c>
      <c r="J207">
        <v>0</v>
      </c>
      <c r="L207" t="s">
        <v>60</v>
      </c>
      <c r="N207">
        <v>0</v>
      </c>
      <c r="O207">
        <v>0</v>
      </c>
      <c r="P207">
        <v>0</v>
      </c>
    </row>
    <row r="208" spans="1:16" hidden="1" x14ac:dyDescent="0.35">
      <c r="A208">
        <v>208</v>
      </c>
      <c r="B208" s="50">
        <v>0</v>
      </c>
      <c r="C208" s="50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72</v>
      </c>
      <c r="J208">
        <v>0</v>
      </c>
      <c r="L208" t="s">
        <v>60</v>
      </c>
      <c r="N208">
        <v>0</v>
      </c>
      <c r="O208">
        <v>0</v>
      </c>
      <c r="P208">
        <v>0</v>
      </c>
    </row>
    <row r="209" spans="1:16" hidden="1" x14ac:dyDescent="0.35">
      <c r="A209">
        <v>209</v>
      </c>
      <c r="B209" s="50">
        <v>0</v>
      </c>
      <c r="C209" s="50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73</v>
      </c>
      <c r="J209">
        <v>0</v>
      </c>
      <c r="L209" t="s">
        <v>60</v>
      </c>
      <c r="N209">
        <v>0</v>
      </c>
      <c r="O209">
        <v>0</v>
      </c>
      <c r="P209">
        <v>0</v>
      </c>
    </row>
    <row r="210" spans="1:16" hidden="1" x14ac:dyDescent="0.35">
      <c r="A210">
        <v>210</v>
      </c>
      <c r="B210" s="50">
        <v>0</v>
      </c>
      <c r="C210" s="5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74</v>
      </c>
      <c r="J210">
        <v>0</v>
      </c>
      <c r="L210" t="s">
        <v>60</v>
      </c>
      <c r="N210">
        <v>0</v>
      </c>
      <c r="O210">
        <v>0</v>
      </c>
      <c r="P210">
        <v>0</v>
      </c>
    </row>
    <row r="211" spans="1:16" hidden="1" x14ac:dyDescent="0.35">
      <c r="A211">
        <v>211</v>
      </c>
      <c r="B211" s="50">
        <v>0</v>
      </c>
      <c r="C211" s="50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75</v>
      </c>
      <c r="J211">
        <v>0</v>
      </c>
      <c r="L211" t="s">
        <v>60</v>
      </c>
      <c r="N211">
        <v>0</v>
      </c>
      <c r="O211">
        <v>0</v>
      </c>
      <c r="P211">
        <v>0</v>
      </c>
    </row>
    <row r="212" spans="1:16" hidden="1" x14ac:dyDescent="0.35">
      <c r="A212">
        <v>212</v>
      </c>
      <c r="B212" s="50">
        <v>0</v>
      </c>
      <c r="C212" s="50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76</v>
      </c>
      <c r="J212">
        <v>0</v>
      </c>
      <c r="L212" t="s">
        <v>60</v>
      </c>
      <c r="N212">
        <v>0</v>
      </c>
      <c r="O212">
        <v>0</v>
      </c>
      <c r="P212">
        <v>0</v>
      </c>
    </row>
    <row r="213" spans="1:16" hidden="1" x14ac:dyDescent="0.35">
      <c r="A213">
        <v>213</v>
      </c>
      <c r="B213" s="50">
        <v>0</v>
      </c>
      <c r="C213" s="50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77</v>
      </c>
      <c r="J213">
        <v>0</v>
      </c>
      <c r="L213" t="s">
        <v>60</v>
      </c>
      <c r="N213">
        <v>0</v>
      </c>
      <c r="O213">
        <v>0</v>
      </c>
      <c r="P213">
        <v>0</v>
      </c>
    </row>
    <row r="214" spans="1:16" hidden="1" x14ac:dyDescent="0.35">
      <c r="A214">
        <v>214</v>
      </c>
      <c r="B214" s="50">
        <v>0</v>
      </c>
      <c r="C214" s="50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78</v>
      </c>
      <c r="J214">
        <v>0</v>
      </c>
      <c r="L214" t="s">
        <v>60</v>
      </c>
      <c r="N214">
        <v>0</v>
      </c>
      <c r="O214">
        <v>0</v>
      </c>
      <c r="P214">
        <v>0</v>
      </c>
    </row>
    <row r="215" spans="1:16" hidden="1" x14ac:dyDescent="0.35">
      <c r="A215">
        <v>215</v>
      </c>
      <c r="B215" s="50">
        <v>0</v>
      </c>
      <c r="C215" s="50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79</v>
      </c>
      <c r="J215">
        <v>0</v>
      </c>
      <c r="L215" t="s">
        <v>60</v>
      </c>
      <c r="N215">
        <v>0</v>
      </c>
      <c r="O215">
        <v>0</v>
      </c>
      <c r="P215">
        <v>0</v>
      </c>
    </row>
    <row r="216" spans="1:16" hidden="1" x14ac:dyDescent="0.35">
      <c r="A216">
        <v>216</v>
      </c>
      <c r="B216" s="50">
        <v>0</v>
      </c>
      <c r="C216" s="50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80</v>
      </c>
      <c r="J216">
        <v>0</v>
      </c>
      <c r="L216" t="s">
        <v>60</v>
      </c>
      <c r="N216">
        <v>0</v>
      </c>
      <c r="O216">
        <v>0</v>
      </c>
      <c r="P216">
        <v>0</v>
      </c>
    </row>
    <row r="217" spans="1:16" hidden="1" x14ac:dyDescent="0.35">
      <c r="A217">
        <v>217</v>
      </c>
      <c r="B217" s="50">
        <v>0</v>
      </c>
      <c r="C217" s="50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81</v>
      </c>
      <c r="J217">
        <v>0</v>
      </c>
      <c r="L217" t="s">
        <v>60</v>
      </c>
      <c r="N217">
        <v>0</v>
      </c>
      <c r="O217">
        <v>0</v>
      </c>
      <c r="P217">
        <v>0</v>
      </c>
    </row>
    <row r="218" spans="1:16" hidden="1" x14ac:dyDescent="0.35">
      <c r="A218">
        <v>218</v>
      </c>
      <c r="B218" s="50">
        <v>0</v>
      </c>
      <c r="C218" s="50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82</v>
      </c>
      <c r="J218">
        <v>0</v>
      </c>
      <c r="L218" t="s">
        <v>60</v>
      </c>
      <c r="N218">
        <v>0</v>
      </c>
      <c r="O218">
        <v>0</v>
      </c>
      <c r="P218">
        <v>0</v>
      </c>
    </row>
    <row r="219" spans="1:16" hidden="1" x14ac:dyDescent="0.35">
      <c r="A219">
        <v>219</v>
      </c>
      <c r="B219" s="50">
        <v>0</v>
      </c>
      <c r="C219" s="50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83</v>
      </c>
      <c r="J219">
        <v>0</v>
      </c>
      <c r="L219" t="s">
        <v>60</v>
      </c>
      <c r="N219">
        <v>0</v>
      </c>
      <c r="O219">
        <v>0</v>
      </c>
      <c r="P219">
        <v>0</v>
      </c>
    </row>
    <row r="220" spans="1:16" hidden="1" x14ac:dyDescent="0.35">
      <c r="A220">
        <v>220</v>
      </c>
      <c r="B220" s="50">
        <v>0</v>
      </c>
      <c r="C220" s="5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84</v>
      </c>
      <c r="J220">
        <v>0</v>
      </c>
      <c r="L220" t="s">
        <v>60</v>
      </c>
      <c r="N220">
        <v>0</v>
      </c>
      <c r="O220">
        <v>0</v>
      </c>
      <c r="P220">
        <v>0</v>
      </c>
    </row>
    <row r="221" spans="1:16" hidden="1" x14ac:dyDescent="0.35">
      <c r="A221">
        <v>221</v>
      </c>
      <c r="B221" s="50">
        <v>0</v>
      </c>
      <c r="C221" s="50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85</v>
      </c>
      <c r="J221">
        <v>0</v>
      </c>
      <c r="L221" t="s">
        <v>60</v>
      </c>
      <c r="N221">
        <v>0</v>
      </c>
      <c r="O221">
        <v>0</v>
      </c>
      <c r="P221">
        <v>0</v>
      </c>
    </row>
    <row r="222" spans="1:16" hidden="1" x14ac:dyDescent="0.35">
      <c r="A222">
        <v>222</v>
      </c>
      <c r="B222" s="50">
        <v>0</v>
      </c>
      <c r="C222" s="50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86</v>
      </c>
      <c r="J222">
        <v>0</v>
      </c>
      <c r="L222" t="s">
        <v>60</v>
      </c>
      <c r="N222">
        <v>0</v>
      </c>
      <c r="O222">
        <v>0</v>
      </c>
      <c r="P222">
        <v>0</v>
      </c>
    </row>
    <row r="223" spans="1:16" hidden="1" x14ac:dyDescent="0.35">
      <c r="A223">
        <v>223</v>
      </c>
      <c r="B223" s="50">
        <v>0</v>
      </c>
      <c r="C223" s="50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87</v>
      </c>
      <c r="J223">
        <v>0</v>
      </c>
      <c r="L223" t="s">
        <v>60</v>
      </c>
      <c r="N223">
        <v>0</v>
      </c>
      <c r="O223">
        <v>0</v>
      </c>
      <c r="P223">
        <v>0</v>
      </c>
    </row>
    <row r="224" spans="1:16" hidden="1" x14ac:dyDescent="0.35">
      <c r="A224">
        <v>224</v>
      </c>
      <c r="B224" s="50">
        <v>0</v>
      </c>
      <c r="C224" s="50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88</v>
      </c>
      <c r="J224">
        <v>0</v>
      </c>
      <c r="L224" t="s">
        <v>60</v>
      </c>
      <c r="N224">
        <v>0</v>
      </c>
      <c r="O224">
        <v>0</v>
      </c>
      <c r="P224">
        <v>0</v>
      </c>
    </row>
    <row r="225" spans="1:16" hidden="1" x14ac:dyDescent="0.35">
      <c r="A225">
        <v>225</v>
      </c>
      <c r="B225" s="50">
        <v>0</v>
      </c>
      <c r="C225" s="50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89</v>
      </c>
      <c r="J225">
        <v>0</v>
      </c>
      <c r="L225" t="s">
        <v>60</v>
      </c>
      <c r="N225">
        <v>0</v>
      </c>
      <c r="O225">
        <v>0</v>
      </c>
      <c r="P225">
        <v>0</v>
      </c>
    </row>
    <row r="226" spans="1:16" hidden="1" x14ac:dyDescent="0.35">
      <c r="A226">
        <v>226</v>
      </c>
      <c r="B226" s="50">
        <v>0</v>
      </c>
      <c r="C226" s="50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90</v>
      </c>
      <c r="J226">
        <v>0</v>
      </c>
      <c r="L226" t="s">
        <v>60</v>
      </c>
      <c r="N226">
        <v>0</v>
      </c>
      <c r="O226">
        <v>0</v>
      </c>
      <c r="P226">
        <v>0</v>
      </c>
    </row>
    <row r="227" spans="1:16" hidden="1" x14ac:dyDescent="0.35">
      <c r="A227">
        <v>227</v>
      </c>
      <c r="B227" s="50">
        <v>0</v>
      </c>
      <c r="C227" s="50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91</v>
      </c>
      <c r="J227">
        <v>0</v>
      </c>
      <c r="L227" t="s">
        <v>60</v>
      </c>
      <c r="N227">
        <v>0</v>
      </c>
      <c r="O227">
        <v>0</v>
      </c>
      <c r="P227">
        <v>0</v>
      </c>
    </row>
    <row r="228" spans="1:16" hidden="1" x14ac:dyDescent="0.35">
      <c r="A228">
        <v>228</v>
      </c>
      <c r="B228" s="50">
        <v>0</v>
      </c>
      <c r="C228" s="50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92</v>
      </c>
      <c r="J228">
        <v>0</v>
      </c>
      <c r="L228" t="s">
        <v>60</v>
      </c>
      <c r="N228">
        <v>0</v>
      </c>
      <c r="O228">
        <v>0</v>
      </c>
      <c r="P228">
        <v>0</v>
      </c>
    </row>
    <row r="229" spans="1:16" hidden="1" x14ac:dyDescent="0.35">
      <c r="A229">
        <v>229</v>
      </c>
      <c r="B229" s="50">
        <v>0</v>
      </c>
      <c r="C229" s="50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93</v>
      </c>
      <c r="J229">
        <v>0</v>
      </c>
      <c r="L229" t="s">
        <v>60</v>
      </c>
      <c r="N229">
        <v>0</v>
      </c>
      <c r="O229">
        <v>0</v>
      </c>
      <c r="P229">
        <v>0</v>
      </c>
    </row>
    <row r="230" spans="1:16" hidden="1" x14ac:dyDescent="0.35">
      <c r="A230">
        <v>230</v>
      </c>
      <c r="B230" s="50">
        <v>0</v>
      </c>
      <c r="C230" s="5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94</v>
      </c>
      <c r="J230">
        <v>0</v>
      </c>
      <c r="L230" t="s">
        <v>60</v>
      </c>
      <c r="N230">
        <v>0</v>
      </c>
      <c r="O230">
        <v>0</v>
      </c>
      <c r="P230">
        <v>0</v>
      </c>
    </row>
    <row r="231" spans="1:16" hidden="1" x14ac:dyDescent="0.35">
      <c r="A231">
        <v>231</v>
      </c>
      <c r="B231" s="50">
        <v>0</v>
      </c>
      <c r="C231" s="50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95</v>
      </c>
      <c r="J231">
        <v>0</v>
      </c>
      <c r="L231" t="s">
        <v>60</v>
      </c>
      <c r="N231">
        <v>0</v>
      </c>
      <c r="O231">
        <v>0</v>
      </c>
      <c r="P231">
        <v>0</v>
      </c>
    </row>
    <row r="232" spans="1:16" hidden="1" x14ac:dyDescent="0.35">
      <c r="A232">
        <v>232</v>
      </c>
      <c r="B232" s="50">
        <v>0</v>
      </c>
      <c r="C232" s="50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96</v>
      </c>
      <c r="J232">
        <v>0</v>
      </c>
      <c r="L232" t="s">
        <v>60</v>
      </c>
      <c r="N232">
        <v>0</v>
      </c>
      <c r="O232">
        <v>0</v>
      </c>
      <c r="P232">
        <v>0</v>
      </c>
    </row>
    <row r="233" spans="1:16" hidden="1" x14ac:dyDescent="0.35">
      <c r="A233">
        <v>233</v>
      </c>
      <c r="B233" s="50">
        <v>0</v>
      </c>
      <c r="C233" s="50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97</v>
      </c>
      <c r="J233">
        <v>0</v>
      </c>
      <c r="L233" t="s">
        <v>60</v>
      </c>
      <c r="N233">
        <v>0</v>
      </c>
      <c r="O233">
        <v>0</v>
      </c>
      <c r="P233">
        <v>0</v>
      </c>
    </row>
    <row r="234" spans="1:16" hidden="1" x14ac:dyDescent="0.35">
      <c r="A234">
        <v>234</v>
      </c>
      <c r="B234" s="50">
        <v>0</v>
      </c>
      <c r="C234" s="50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98</v>
      </c>
      <c r="J234">
        <v>0</v>
      </c>
      <c r="L234" t="s">
        <v>60</v>
      </c>
      <c r="N234">
        <v>0</v>
      </c>
      <c r="O234">
        <v>0</v>
      </c>
      <c r="P234">
        <v>0</v>
      </c>
    </row>
    <row r="235" spans="1:16" hidden="1" x14ac:dyDescent="0.35">
      <c r="A235">
        <v>235</v>
      </c>
      <c r="B235" s="50">
        <v>0</v>
      </c>
      <c r="C235" s="50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99</v>
      </c>
      <c r="J235">
        <v>0</v>
      </c>
      <c r="L235" t="s">
        <v>60</v>
      </c>
      <c r="N235">
        <v>0</v>
      </c>
      <c r="O235">
        <v>0</v>
      </c>
      <c r="P235">
        <v>0</v>
      </c>
    </row>
    <row r="236" spans="1:16" hidden="1" x14ac:dyDescent="0.35">
      <c r="A236">
        <v>236</v>
      </c>
      <c r="B236" s="50">
        <v>0</v>
      </c>
      <c r="C236" s="50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100</v>
      </c>
      <c r="J236">
        <v>0</v>
      </c>
      <c r="L236" t="s">
        <v>60</v>
      </c>
      <c r="N236">
        <v>0</v>
      </c>
      <c r="O236">
        <v>0</v>
      </c>
      <c r="P236">
        <v>0</v>
      </c>
    </row>
    <row r="237" spans="1:16" hidden="1" x14ac:dyDescent="0.35">
      <c r="A237">
        <v>237</v>
      </c>
      <c r="B237" s="50">
        <v>0</v>
      </c>
      <c r="C237" s="50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101</v>
      </c>
      <c r="J237">
        <v>0</v>
      </c>
      <c r="L237" t="s">
        <v>60</v>
      </c>
      <c r="N237">
        <v>0</v>
      </c>
      <c r="O237">
        <v>0</v>
      </c>
      <c r="P237">
        <v>0</v>
      </c>
    </row>
    <row r="238" spans="1:16" hidden="1" x14ac:dyDescent="0.35">
      <c r="A238">
        <v>238</v>
      </c>
      <c r="B238" s="50">
        <v>0</v>
      </c>
      <c r="C238" s="50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102</v>
      </c>
      <c r="J238">
        <v>0</v>
      </c>
      <c r="L238" t="s">
        <v>60</v>
      </c>
      <c r="N238">
        <v>0</v>
      </c>
      <c r="O238">
        <v>0</v>
      </c>
      <c r="P238">
        <v>0</v>
      </c>
    </row>
    <row r="239" spans="1:16" hidden="1" x14ac:dyDescent="0.35">
      <c r="A239">
        <v>239</v>
      </c>
      <c r="B239" s="50">
        <v>0</v>
      </c>
      <c r="C239" s="50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103</v>
      </c>
      <c r="J239">
        <v>0</v>
      </c>
      <c r="L239" t="s">
        <v>60</v>
      </c>
      <c r="N239">
        <v>0</v>
      </c>
      <c r="O239">
        <v>0</v>
      </c>
      <c r="P239">
        <v>0</v>
      </c>
    </row>
    <row r="240" spans="1:16" hidden="1" x14ac:dyDescent="0.35">
      <c r="A240">
        <v>240</v>
      </c>
      <c r="B240" s="50">
        <v>0</v>
      </c>
      <c r="C240" s="5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104</v>
      </c>
      <c r="J240">
        <v>0</v>
      </c>
      <c r="L240" t="s">
        <v>60</v>
      </c>
      <c r="N240">
        <v>0</v>
      </c>
      <c r="O240">
        <v>0</v>
      </c>
      <c r="P240">
        <v>0</v>
      </c>
    </row>
    <row r="241" spans="1:16" hidden="1" x14ac:dyDescent="0.35">
      <c r="A241">
        <v>241</v>
      </c>
      <c r="B241" s="50">
        <v>0</v>
      </c>
      <c r="C241" s="50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105</v>
      </c>
      <c r="J241">
        <v>0</v>
      </c>
      <c r="L241" t="s">
        <v>60</v>
      </c>
      <c r="N241">
        <v>0</v>
      </c>
      <c r="O241">
        <v>0</v>
      </c>
      <c r="P241">
        <v>0</v>
      </c>
    </row>
    <row r="242" spans="1:16" hidden="1" x14ac:dyDescent="0.35">
      <c r="A242">
        <v>242</v>
      </c>
      <c r="B242" s="50">
        <v>0</v>
      </c>
      <c r="C242" s="50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106</v>
      </c>
      <c r="J242">
        <v>0</v>
      </c>
      <c r="L242" t="s">
        <v>60</v>
      </c>
      <c r="N242">
        <v>0</v>
      </c>
      <c r="O242">
        <v>0</v>
      </c>
      <c r="P242">
        <v>0</v>
      </c>
    </row>
    <row r="243" spans="1:16" hidden="1" x14ac:dyDescent="0.35">
      <c r="A243">
        <v>243</v>
      </c>
      <c r="B243" s="50">
        <v>0</v>
      </c>
      <c r="C243" s="50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107</v>
      </c>
      <c r="J243">
        <v>0</v>
      </c>
      <c r="L243" t="s">
        <v>60</v>
      </c>
      <c r="N243">
        <v>0</v>
      </c>
      <c r="O243">
        <v>0</v>
      </c>
      <c r="P243">
        <v>0</v>
      </c>
    </row>
    <row r="244" spans="1:16" hidden="1" x14ac:dyDescent="0.35">
      <c r="A244">
        <v>244</v>
      </c>
      <c r="B244" s="50">
        <v>0</v>
      </c>
      <c r="C244" s="50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108</v>
      </c>
      <c r="J244">
        <v>0</v>
      </c>
      <c r="L244" t="s">
        <v>60</v>
      </c>
      <c r="N244">
        <v>0</v>
      </c>
      <c r="O244">
        <v>0</v>
      </c>
      <c r="P244">
        <v>0</v>
      </c>
    </row>
    <row r="245" spans="1:16" hidden="1" x14ac:dyDescent="0.35">
      <c r="A245">
        <v>245</v>
      </c>
      <c r="B245" s="50">
        <v>0</v>
      </c>
      <c r="C245" s="50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109</v>
      </c>
      <c r="J245">
        <v>0</v>
      </c>
      <c r="L245" t="s">
        <v>60</v>
      </c>
      <c r="N245">
        <v>0</v>
      </c>
      <c r="O245">
        <v>0</v>
      </c>
      <c r="P245">
        <v>0</v>
      </c>
    </row>
    <row r="246" spans="1:16" hidden="1" x14ac:dyDescent="0.35">
      <c r="A246">
        <v>246</v>
      </c>
      <c r="B246" s="50">
        <v>0</v>
      </c>
      <c r="C246" s="50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110</v>
      </c>
      <c r="J246">
        <v>0</v>
      </c>
      <c r="L246" t="s">
        <v>60</v>
      </c>
      <c r="N246">
        <v>0</v>
      </c>
      <c r="O246">
        <v>0</v>
      </c>
      <c r="P246">
        <v>0</v>
      </c>
    </row>
    <row r="247" spans="1:16" hidden="1" x14ac:dyDescent="0.35">
      <c r="A247">
        <v>247</v>
      </c>
      <c r="B247" s="50">
        <v>0</v>
      </c>
      <c r="C247" s="50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111</v>
      </c>
      <c r="J247">
        <v>0</v>
      </c>
      <c r="L247" t="s">
        <v>60</v>
      </c>
      <c r="N247">
        <v>0</v>
      </c>
      <c r="O247">
        <v>0</v>
      </c>
      <c r="P247">
        <v>0</v>
      </c>
    </row>
    <row r="248" spans="1:16" hidden="1" x14ac:dyDescent="0.35">
      <c r="A248">
        <v>248</v>
      </c>
      <c r="B248" s="50">
        <v>0</v>
      </c>
      <c r="C248" s="50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112</v>
      </c>
      <c r="J248">
        <v>0</v>
      </c>
      <c r="L248" t="s">
        <v>60</v>
      </c>
      <c r="N248">
        <v>0</v>
      </c>
      <c r="O248">
        <v>0</v>
      </c>
      <c r="P248">
        <v>0</v>
      </c>
    </row>
    <row r="249" spans="1:16" hidden="1" x14ac:dyDescent="0.35">
      <c r="A249">
        <v>249</v>
      </c>
      <c r="B249" s="50">
        <v>0</v>
      </c>
      <c r="C249" s="50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113</v>
      </c>
      <c r="J249">
        <v>0</v>
      </c>
      <c r="L249" t="s">
        <v>60</v>
      </c>
      <c r="N249">
        <v>0</v>
      </c>
      <c r="O249">
        <v>0</v>
      </c>
      <c r="P249">
        <v>0</v>
      </c>
    </row>
    <row r="250" spans="1:16" hidden="1" x14ac:dyDescent="0.35">
      <c r="A250">
        <v>250</v>
      </c>
      <c r="B250" s="50">
        <v>0</v>
      </c>
      <c r="C250" s="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114</v>
      </c>
      <c r="J250">
        <v>0</v>
      </c>
      <c r="L250" t="s">
        <v>60</v>
      </c>
      <c r="N250">
        <v>0</v>
      </c>
      <c r="O250">
        <v>0</v>
      </c>
      <c r="P250">
        <v>0</v>
      </c>
    </row>
    <row r="251" spans="1:16" hidden="1" x14ac:dyDescent="0.35">
      <c r="A251">
        <v>251</v>
      </c>
      <c r="B251" s="50">
        <v>0</v>
      </c>
      <c r="C251" s="50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115</v>
      </c>
      <c r="J251">
        <v>0</v>
      </c>
      <c r="L251" t="s">
        <v>60</v>
      </c>
      <c r="N251">
        <v>0</v>
      </c>
      <c r="O251">
        <v>0</v>
      </c>
      <c r="P251">
        <v>0</v>
      </c>
    </row>
    <row r="252" spans="1:16" hidden="1" x14ac:dyDescent="0.35">
      <c r="A252">
        <v>252</v>
      </c>
      <c r="B252" s="50">
        <v>0</v>
      </c>
      <c r="C252" s="50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116</v>
      </c>
      <c r="J252">
        <v>0</v>
      </c>
      <c r="L252" t="s">
        <v>60</v>
      </c>
      <c r="N252">
        <v>0</v>
      </c>
      <c r="O252">
        <v>0</v>
      </c>
      <c r="P252">
        <v>0</v>
      </c>
    </row>
    <row r="253" spans="1:16" hidden="1" x14ac:dyDescent="0.35">
      <c r="A253">
        <v>253</v>
      </c>
      <c r="B253" s="50">
        <v>0</v>
      </c>
      <c r="C253" s="50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117</v>
      </c>
      <c r="J253">
        <v>0</v>
      </c>
      <c r="L253" t="s">
        <v>60</v>
      </c>
      <c r="N253">
        <v>0</v>
      </c>
      <c r="O253">
        <v>0</v>
      </c>
      <c r="P253">
        <v>0</v>
      </c>
    </row>
    <row r="254" spans="1:16" hidden="1" x14ac:dyDescent="0.35">
      <c r="A254">
        <v>254</v>
      </c>
      <c r="B254" s="50">
        <v>0</v>
      </c>
      <c r="C254" s="50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118</v>
      </c>
      <c r="J254">
        <v>0</v>
      </c>
      <c r="L254" t="s">
        <v>60</v>
      </c>
      <c r="N254">
        <v>0</v>
      </c>
      <c r="O254">
        <v>0</v>
      </c>
      <c r="P254">
        <v>0</v>
      </c>
    </row>
    <row r="255" spans="1:16" hidden="1" x14ac:dyDescent="0.35">
      <c r="A255">
        <v>255</v>
      </c>
      <c r="B255" s="50">
        <v>0</v>
      </c>
      <c r="C255" s="50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119</v>
      </c>
      <c r="J255">
        <v>0</v>
      </c>
      <c r="L255" t="s">
        <v>60</v>
      </c>
      <c r="N255">
        <v>0</v>
      </c>
      <c r="O255">
        <v>0</v>
      </c>
      <c r="P255">
        <v>0</v>
      </c>
    </row>
    <row r="256" spans="1:16" hidden="1" x14ac:dyDescent="0.35">
      <c r="A256">
        <v>256</v>
      </c>
      <c r="B256" s="50">
        <v>0</v>
      </c>
      <c r="C256" s="50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120</v>
      </c>
      <c r="J256">
        <v>0</v>
      </c>
      <c r="L256" t="s">
        <v>60</v>
      </c>
      <c r="N256">
        <v>0</v>
      </c>
      <c r="O256">
        <v>0</v>
      </c>
      <c r="P256">
        <v>0</v>
      </c>
    </row>
    <row r="257" spans="1:16" hidden="1" x14ac:dyDescent="0.35">
      <c r="A257">
        <v>257</v>
      </c>
      <c r="B257" s="50">
        <v>0</v>
      </c>
      <c r="C257" s="50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121</v>
      </c>
      <c r="J257">
        <v>0</v>
      </c>
      <c r="L257" t="s">
        <v>60</v>
      </c>
      <c r="N257">
        <v>0</v>
      </c>
      <c r="O257">
        <v>0</v>
      </c>
      <c r="P257">
        <v>0</v>
      </c>
    </row>
    <row r="258" spans="1:16" hidden="1" x14ac:dyDescent="0.35">
      <c r="A258">
        <v>258</v>
      </c>
      <c r="B258" s="50">
        <v>0</v>
      </c>
      <c r="C258" s="50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122</v>
      </c>
      <c r="J258">
        <v>0</v>
      </c>
      <c r="L258" t="s">
        <v>60</v>
      </c>
      <c r="N258">
        <v>0</v>
      </c>
      <c r="O258">
        <v>0</v>
      </c>
      <c r="P258">
        <v>0</v>
      </c>
    </row>
    <row r="259" spans="1:16" hidden="1" x14ac:dyDescent="0.35">
      <c r="A259">
        <v>259</v>
      </c>
      <c r="B259" s="50">
        <v>0</v>
      </c>
      <c r="C259" s="50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123</v>
      </c>
      <c r="J259">
        <v>0</v>
      </c>
      <c r="L259" t="s">
        <v>60</v>
      </c>
      <c r="N259">
        <v>0</v>
      </c>
      <c r="O259">
        <v>0</v>
      </c>
      <c r="P259">
        <v>0</v>
      </c>
    </row>
    <row r="260" spans="1:16" hidden="1" x14ac:dyDescent="0.35">
      <c r="A260">
        <v>260</v>
      </c>
      <c r="B260" s="50">
        <v>0</v>
      </c>
      <c r="C260" s="5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124</v>
      </c>
      <c r="J260">
        <v>0</v>
      </c>
      <c r="L260" t="s">
        <v>60</v>
      </c>
      <c r="N260">
        <v>0</v>
      </c>
      <c r="O260">
        <v>0</v>
      </c>
      <c r="P260">
        <v>0</v>
      </c>
    </row>
    <row r="261" spans="1:16" hidden="1" x14ac:dyDescent="0.35">
      <c r="A261">
        <v>261</v>
      </c>
      <c r="B261" s="50">
        <v>0</v>
      </c>
      <c r="C261" s="50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125</v>
      </c>
      <c r="J261">
        <v>0</v>
      </c>
      <c r="L261" t="s">
        <v>60</v>
      </c>
      <c r="N261">
        <v>0</v>
      </c>
      <c r="O261">
        <v>0</v>
      </c>
      <c r="P261">
        <v>0</v>
      </c>
    </row>
    <row r="262" spans="1:16" hidden="1" x14ac:dyDescent="0.35">
      <c r="A262">
        <v>262</v>
      </c>
      <c r="B262" s="50">
        <v>0</v>
      </c>
      <c r="C262" s="50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126</v>
      </c>
      <c r="J262">
        <v>0</v>
      </c>
      <c r="L262" t="s">
        <v>60</v>
      </c>
      <c r="N262">
        <v>0</v>
      </c>
      <c r="O262">
        <v>0</v>
      </c>
      <c r="P262">
        <v>0</v>
      </c>
    </row>
    <row r="263" spans="1:16" hidden="1" x14ac:dyDescent="0.35">
      <c r="A263">
        <v>263</v>
      </c>
      <c r="B263" s="50">
        <v>0</v>
      </c>
      <c r="C263" s="50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127</v>
      </c>
      <c r="J263">
        <v>0</v>
      </c>
      <c r="L263" t="s">
        <v>60</v>
      </c>
      <c r="N263">
        <v>0</v>
      </c>
      <c r="O263">
        <v>0</v>
      </c>
      <c r="P263">
        <v>0</v>
      </c>
    </row>
    <row r="264" spans="1:16" hidden="1" x14ac:dyDescent="0.35">
      <c r="A264">
        <v>264</v>
      </c>
      <c r="B264" s="50">
        <v>0</v>
      </c>
      <c r="C264" s="50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128</v>
      </c>
      <c r="J264">
        <v>0</v>
      </c>
      <c r="L264" t="s">
        <v>60</v>
      </c>
      <c r="N264">
        <v>0</v>
      </c>
      <c r="O264">
        <v>0</v>
      </c>
      <c r="P264">
        <v>0</v>
      </c>
    </row>
    <row r="265" spans="1:16" hidden="1" x14ac:dyDescent="0.35">
      <c r="A265">
        <v>265</v>
      </c>
      <c r="B265" s="50">
        <v>0</v>
      </c>
      <c r="C265" s="50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129</v>
      </c>
      <c r="J265">
        <v>0</v>
      </c>
      <c r="L265" t="s">
        <v>60</v>
      </c>
      <c r="N265">
        <v>0</v>
      </c>
      <c r="O265">
        <v>0</v>
      </c>
      <c r="P265">
        <v>0</v>
      </c>
    </row>
    <row r="266" spans="1:16" hidden="1" x14ac:dyDescent="0.35">
      <c r="A266">
        <v>266</v>
      </c>
      <c r="B266" s="50">
        <v>0</v>
      </c>
      <c r="C266" s="50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130</v>
      </c>
      <c r="J266">
        <v>0</v>
      </c>
      <c r="L266" t="s">
        <v>60</v>
      </c>
      <c r="N266">
        <v>0</v>
      </c>
      <c r="O266">
        <v>0</v>
      </c>
      <c r="P266">
        <v>0</v>
      </c>
    </row>
    <row r="267" spans="1:16" hidden="1" x14ac:dyDescent="0.35">
      <c r="A267">
        <v>267</v>
      </c>
      <c r="B267" s="50">
        <v>0</v>
      </c>
      <c r="C267" s="50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131</v>
      </c>
      <c r="J267">
        <v>0</v>
      </c>
      <c r="L267" t="s">
        <v>60</v>
      </c>
      <c r="N267">
        <v>0</v>
      </c>
      <c r="O267">
        <v>0</v>
      </c>
      <c r="P267">
        <v>0</v>
      </c>
    </row>
    <row r="268" spans="1:16" hidden="1" x14ac:dyDescent="0.35">
      <c r="A268">
        <v>268</v>
      </c>
      <c r="B268" s="50">
        <v>0</v>
      </c>
      <c r="C268" s="50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132</v>
      </c>
      <c r="J268">
        <v>0</v>
      </c>
      <c r="L268" t="s">
        <v>60</v>
      </c>
      <c r="N268">
        <v>0</v>
      </c>
      <c r="O268">
        <v>0</v>
      </c>
      <c r="P268">
        <v>0</v>
      </c>
    </row>
    <row r="269" spans="1:16" hidden="1" x14ac:dyDescent="0.35">
      <c r="A269">
        <v>269</v>
      </c>
      <c r="B269" s="50">
        <v>0</v>
      </c>
      <c r="C269" s="50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133</v>
      </c>
      <c r="J269">
        <v>0</v>
      </c>
      <c r="L269" t="s">
        <v>60</v>
      </c>
      <c r="N269">
        <v>0</v>
      </c>
      <c r="O269">
        <v>0</v>
      </c>
      <c r="P269">
        <v>0</v>
      </c>
    </row>
    <row r="270" spans="1:16" hidden="1" x14ac:dyDescent="0.35">
      <c r="A270">
        <v>270</v>
      </c>
      <c r="B270" s="50">
        <v>0</v>
      </c>
      <c r="C270" s="5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134</v>
      </c>
      <c r="J270">
        <v>0</v>
      </c>
      <c r="L270" t="s">
        <v>60</v>
      </c>
      <c r="N270">
        <v>0</v>
      </c>
      <c r="O270">
        <v>0</v>
      </c>
      <c r="P270">
        <v>0</v>
      </c>
    </row>
    <row r="271" spans="1:16" hidden="1" x14ac:dyDescent="0.35">
      <c r="A271">
        <v>271</v>
      </c>
      <c r="B271" s="50">
        <v>0</v>
      </c>
      <c r="C271" s="50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135</v>
      </c>
      <c r="J271">
        <v>0</v>
      </c>
      <c r="L271" t="s">
        <v>60</v>
      </c>
      <c r="N271">
        <v>0</v>
      </c>
      <c r="O271">
        <v>0</v>
      </c>
      <c r="P271">
        <v>0</v>
      </c>
    </row>
    <row r="272" spans="1:16" hidden="1" x14ac:dyDescent="0.35">
      <c r="A272">
        <v>272</v>
      </c>
      <c r="B272" s="50">
        <v>0</v>
      </c>
      <c r="C272" s="50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136</v>
      </c>
      <c r="J272">
        <v>0</v>
      </c>
      <c r="L272" t="s">
        <v>60</v>
      </c>
      <c r="N272">
        <v>0</v>
      </c>
      <c r="O272">
        <v>0</v>
      </c>
      <c r="P272">
        <v>0</v>
      </c>
    </row>
    <row r="273" spans="1:16" hidden="1" x14ac:dyDescent="0.35">
      <c r="A273">
        <v>273</v>
      </c>
      <c r="B273" s="50">
        <v>0</v>
      </c>
      <c r="C273" s="50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137</v>
      </c>
      <c r="J273">
        <v>0</v>
      </c>
      <c r="L273" t="s">
        <v>60</v>
      </c>
      <c r="N273">
        <v>0</v>
      </c>
      <c r="O273">
        <v>0</v>
      </c>
      <c r="P273">
        <v>0</v>
      </c>
    </row>
    <row r="274" spans="1:16" hidden="1" x14ac:dyDescent="0.35">
      <c r="A274">
        <v>274</v>
      </c>
      <c r="B274" s="50">
        <v>0</v>
      </c>
      <c r="C274" s="50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138</v>
      </c>
      <c r="J274">
        <v>0</v>
      </c>
      <c r="L274" t="s">
        <v>60</v>
      </c>
      <c r="N274">
        <v>0</v>
      </c>
      <c r="O274">
        <v>0</v>
      </c>
      <c r="P274">
        <v>0</v>
      </c>
    </row>
    <row r="275" spans="1:16" hidden="1" x14ac:dyDescent="0.35">
      <c r="A275">
        <v>275</v>
      </c>
      <c r="B275" s="50">
        <v>0</v>
      </c>
      <c r="C275" s="50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139</v>
      </c>
      <c r="J275">
        <v>0</v>
      </c>
      <c r="L275" t="s">
        <v>60</v>
      </c>
      <c r="N275">
        <v>0</v>
      </c>
      <c r="O275">
        <v>0</v>
      </c>
      <c r="P275">
        <v>0</v>
      </c>
    </row>
    <row r="276" spans="1:16" hidden="1" x14ac:dyDescent="0.35">
      <c r="A276">
        <v>276</v>
      </c>
      <c r="B276" s="50">
        <v>0</v>
      </c>
      <c r="C276" s="50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140</v>
      </c>
      <c r="J276">
        <v>0</v>
      </c>
      <c r="L276" t="s">
        <v>60</v>
      </c>
      <c r="N276">
        <v>0</v>
      </c>
      <c r="O276">
        <v>0</v>
      </c>
      <c r="P276">
        <v>0</v>
      </c>
    </row>
    <row r="277" spans="1:16" hidden="1" x14ac:dyDescent="0.35">
      <c r="A277">
        <v>277</v>
      </c>
      <c r="B277" s="50">
        <v>0</v>
      </c>
      <c r="C277" s="50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141</v>
      </c>
      <c r="J277">
        <v>0</v>
      </c>
      <c r="L277" t="s">
        <v>60</v>
      </c>
      <c r="N277">
        <v>0</v>
      </c>
      <c r="O277">
        <v>0</v>
      </c>
      <c r="P277">
        <v>0</v>
      </c>
    </row>
    <row r="278" spans="1:16" hidden="1" x14ac:dyDescent="0.35">
      <c r="A278">
        <v>278</v>
      </c>
      <c r="B278" s="50">
        <v>0</v>
      </c>
      <c r="C278" s="50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142</v>
      </c>
      <c r="J278">
        <v>0</v>
      </c>
      <c r="L278" t="s">
        <v>60</v>
      </c>
      <c r="N278">
        <v>0</v>
      </c>
      <c r="O278">
        <v>0</v>
      </c>
      <c r="P278">
        <v>0</v>
      </c>
    </row>
    <row r="279" spans="1:16" hidden="1" x14ac:dyDescent="0.35">
      <c r="A279">
        <v>279</v>
      </c>
      <c r="B279" s="50">
        <v>0</v>
      </c>
      <c r="C279" s="50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143</v>
      </c>
      <c r="J279">
        <v>0</v>
      </c>
      <c r="L279" t="s">
        <v>60</v>
      </c>
      <c r="N279">
        <v>0</v>
      </c>
      <c r="O279">
        <v>0</v>
      </c>
      <c r="P279">
        <v>0</v>
      </c>
    </row>
    <row r="280" spans="1:16" hidden="1" x14ac:dyDescent="0.35">
      <c r="A280">
        <v>280</v>
      </c>
      <c r="B280" s="50">
        <v>0</v>
      </c>
      <c r="C280" s="5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144</v>
      </c>
      <c r="J280">
        <v>0</v>
      </c>
      <c r="L280" t="s">
        <v>60</v>
      </c>
      <c r="N280">
        <v>0</v>
      </c>
      <c r="O280">
        <v>0</v>
      </c>
      <c r="P280">
        <v>0</v>
      </c>
    </row>
    <row r="281" spans="1:16" hidden="1" x14ac:dyDescent="0.35">
      <c r="A281">
        <v>281</v>
      </c>
      <c r="B281" s="50">
        <v>0</v>
      </c>
      <c r="C281" s="50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145</v>
      </c>
      <c r="J281">
        <v>0</v>
      </c>
      <c r="L281" t="s">
        <v>60</v>
      </c>
      <c r="N281">
        <v>0</v>
      </c>
      <c r="O281">
        <v>0</v>
      </c>
      <c r="P281">
        <v>0</v>
      </c>
    </row>
    <row r="282" spans="1:16" hidden="1" x14ac:dyDescent="0.35">
      <c r="A282">
        <v>282</v>
      </c>
      <c r="B282" s="50">
        <v>0</v>
      </c>
      <c r="C282" s="50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146</v>
      </c>
      <c r="J282">
        <v>0</v>
      </c>
      <c r="L282" t="s">
        <v>60</v>
      </c>
      <c r="N282">
        <v>0</v>
      </c>
      <c r="O282">
        <v>0</v>
      </c>
      <c r="P282">
        <v>0</v>
      </c>
    </row>
    <row r="283" spans="1:16" hidden="1" x14ac:dyDescent="0.35">
      <c r="A283">
        <v>283</v>
      </c>
      <c r="B283" s="50">
        <v>0</v>
      </c>
      <c r="C283" s="50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147</v>
      </c>
      <c r="J283">
        <v>0</v>
      </c>
      <c r="L283" t="s">
        <v>60</v>
      </c>
      <c r="N283">
        <v>0</v>
      </c>
      <c r="O283">
        <v>0</v>
      </c>
      <c r="P283">
        <v>0</v>
      </c>
    </row>
    <row r="284" spans="1:16" hidden="1" x14ac:dyDescent="0.35">
      <c r="A284">
        <v>284</v>
      </c>
      <c r="B284" s="50">
        <v>0</v>
      </c>
      <c r="C284" s="50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148</v>
      </c>
      <c r="J284">
        <v>0</v>
      </c>
      <c r="L284" t="s">
        <v>60</v>
      </c>
      <c r="N284">
        <v>0</v>
      </c>
      <c r="O284">
        <v>0</v>
      </c>
      <c r="P284">
        <v>0</v>
      </c>
    </row>
    <row r="285" spans="1:16" hidden="1" x14ac:dyDescent="0.35">
      <c r="A285">
        <v>285</v>
      </c>
      <c r="B285" s="50">
        <v>0</v>
      </c>
      <c r="C285" s="50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149</v>
      </c>
      <c r="J285">
        <v>0</v>
      </c>
      <c r="L285" t="s">
        <v>60</v>
      </c>
      <c r="N285">
        <v>0</v>
      </c>
      <c r="O285">
        <v>0</v>
      </c>
      <c r="P285">
        <v>0</v>
      </c>
    </row>
    <row r="286" spans="1:16" hidden="1" x14ac:dyDescent="0.35">
      <c r="A286">
        <v>286</v>
      </c>
      <c r="B286" s="50">
        <v>0</v>
      </c>
      <c r="C286" s="50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150</v>
      </c>
      <c r="J286">
        <v>0</v>
      </c>
      <c r="L286" t="s">
        <v>60</v>
      </c>
      <c r="N286">
        <v>0</v>
      </c>
      <c r="O286">
        <v>0</v>
      </c>
      <c r="P286">
        <v>0</v>
      </c>
    </row>
    <row r="287" spans="1:16" hidden="1" x14ac:dyDescent="0.35">
      <c r="A287">
        <v>287</v>
      </c>
      <c r="B287" s="50">
        <v>0</v>
      </c>
      <c r="C287" s="50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151</v>
      </c>
      <c r="J287">
        <v>0</v>
      </c>
      <c r="L287" t="s">
        <v>60</v>
      </c>
      <c r="N287">
        <v>0</v>
      </c>
      <c r="O287">
        <v>0</v>
      </c>
      <c r="P287">
        <v>0</v>
      </c>
    </row>
    <row r="288" spans="1:16" hidden="1" x14ac:dyDescent="0.35">
      <c r="A288">
        <v>288</v>
      </c>
      <c r="B288" s="50">
        <v>0</v>
      </c>
      <c r="C288" s="50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152</v>
      </c>
      <c r="J288">
        <v>0</v>
      </c>
      <c r="L288" t="s">
        <v>60</v>
      </c>
      <c r="N288">
        <v>0</v>
      </c>
      <c r="O288">
        <v>0</v>
      </c>
      <c r="P288">
        <v>0</v>
      </c>
    </row>
    <row r="289" spans="1:16" hidden="1" x14ac:dyDescent="0.35">
      <c r="A289">
        <v>289</v>
      </c>
      <c r="B289" s="50">
        <v>0</v>
      </c>
      <c r="C289" s="50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153</v>
      </c>
      <c r="J289">
        <v>0</v>
      </c>
      <c r="L289" t="s">
        <v>60</v>
      </c>
      <c r="N289">
        <v>0</v>
      </c>
      <c r="O289">
        <v>0</v>
      </c>
      <c r="P289">
        <v>0</v>
      </c>
    </row>
    <row r="290" spans="1:16" hidden="1" x14ac:dyDescent="0.35">
      <c r="A290">
        <v>290</v>
      </c>
      <c r="B290" s="50">
        <v>0</v>
      </c>
      <c r="C290" s="5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154</v>
      </c>
      <c r="J290">
        <v>0</v>
      </c>
      <c r="L290" t="s">
        <v>60</v>
      </c>
      <c r="N290">
        <v>0</v>
      </c>
      <c r="O290">
        <v>0</v>
      </c>
      <c r="P290">
        <v>0</v>
      </c>
    </row>
    <row r="291" spans="1:16" hidden="1" x14ac:dyDescent="0.35">
      <c r="A291">
        <v>291</v>
      </c>
      <c r="B291" s="50">
        <v>0</v>
      </c>
      <c r="C291" s="50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155</v>
      </c>
      <c r="J291">
        <v>0</v>
      </c>
      <c r="L291" t="s">
        <v>60</v>
      </c>
      <c r="N291">
        <v>0</v>
      </c>
      <c r="O291">
        <v>0</v>
      </c>
      <c r="P291">
        <v>0</v>
      </c>
    </row>
    <row r="292" spans="1:16" hidden="1" x14ac:dyDescent="0.35">
      <c r="A292">
        <v>292</v>
      </c>
      <c r="B292" s="50">
        <v>0</v>
      </c>
      <c r="C292" s="50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156</v>
      </c>
      <c r="J292">
        <v>0</v>
      </c>
      <c r="L292" t="s">
        <v>60</v>
      </c>
      <c r="N292">
        <v>0</v>
      </c>
      <c r="O292">
        <v>0</v>
      </c>
      <c r="P292">
        <v>0</v>
      </c>
    </row>
    <row r="293" spans="1:16" hidden="1" x14ac:dyDescent="0.35">
      <c r="A293">
        <v>293</v>
      </c>
      <c r="B293" s="50">
        <v>0</v>
      </c>
      <c r="C293" s="50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157</v>
      </c>
      <c r="J293">
        <v>0</v>
      </c>
      <c r="L293" t="s">
        <v>60</v>
      </c>
      <c r="N293">
        <v>0</v>
      </c>
      <c r="O293">
        <v>0</v>
      </c>
      <c r="P293">
        <v>0</v>
      </c>
    </row>
    <row r="294" spans="1:16" hidden="1" x14ac:dyDescent="0.35">
      <c r="A294">
        <v>294</v>
      </c>
      <c r="B294" s="50">
        <v>0</v>
      </c>
      <c r="C294" s="50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158</v>
      </c>
      <c r="J294">
        <v>0</v>
      </c>
      <c r="L294" t="s">
        <v>60</v>
      </c>
      <c r="N294">
        <v>0</v>
      </c>
      <c r="O294">
        <v>0</v>
      </c>
      <c r="P294">
        <v>0</v>
      </c>
    </row>
    <row r="295" spans="1:16" hidden="1" x14ac:dyDescent="0.35">
      <c r="A295">
        <v>295</v>
      </c>
      <c r="B295" s="50">
        <v>0</v>
      </c>
      <c r="C295" s="50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159</v>
      </c>
      <c r="J295">
        <v>0</v>
      </c>
      <c r="L295" t="s">
        <v>60</v>
      </c>
      <c r="N295">
        <v>0</v>
      </c>
      <c r="O295">
        <v>0</v>
      </c>
      <c r="P295">
        <v>0</v>
      </c>
    </row>
    <row r="296" spans="1:16" hidden="1" x14ac:dyDescent="0.35">
      <c r="A296">
        <v>296</v>
      </c>
      <c r="B296" s="50">
        <v>0</v>
      </c>
      <c r="C296" s="50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160</v>
      </c>
      <c r="J296">
        <v>0</v>
      </c>
      <c r="L296" t="s">
        <v>60</v>
      </c>
      <c r="N296">
        <v>0</v>
      </c>
      <c r="O296">
        <v>0</v>
      </c>
      <c r="P296">
        <v>0</v>
      </c>
    </row>
    <row r="297" spans="1:16" hidden="1" x14ac:dyDescent="0.35">
      <c r="A297">
        <v>297</v>
      </c>
      <c r="B297" s="50">
        <v>0</v>
      </c>
      <c r="C297" s="50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161</v>
      </c>
      <c r="J297">
        <v>0</v>
      </c>
      <c r="L297" t="s">
        <v>60</v>
      </c>
      <c r="N297">
        <v>0</v>
      </c>
      <c r="O297">
        <v>0</v>
      </c>
      <c r="P297">
        <v>0</v>
      </c>
    </row>
    <row r="298" spans="1:16" hidden="1" x14ac:dyDescent="0.35">
      <c r="A298">
        <v>298</v>
      </c>
      <c r="B298" s="50">
        <v>0</v>
      </c>
      <c r="C298" s="50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162</v>
      </c>
      <c r="J298">
        <v>0</v>
      </c>
      <c r="L298" t="s">
        <v>60</v>
      </c>
      <c r="N298">
        <v>0</v>
      </c>
      <c r="O298">
        <v>0</v>
      </c>
      <c r="P298">
        <v>0</v>
      </c>
    </row>
    <row r="299" spans="1:16" hidden="1" x14ac:dyDescent="0.35">
      <c r="A299">
        <v>299</v>
      </c>
      <c r="B299" s="50">
        <v>0</v>
      </c>
      <c r="C299" s="50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163</v>
      </c>
      <c r="J299">
        <v>0</v>
      </c>
      <c r="L299" t="s">
        <v>60</v>
      </c>
      <c r="N299">
        <v>0</v>
      </c>
      <c r="O299">
        <v>0</v>
      </c>
      <c r="P299">
        <v>0</v>
      </c>
    </row>
    <row r="300" spans="1:16" hidden="1" x14ac:dyDescent="0.35">
      <c r="A300">
        <v>300</v>
      </c>
      <c r="B300" s="50">
        <v>0</v>
      </c>
      <c r="C300" s="5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164</v>
      </c>
      <c r="J300">
        <v>0</v>
      </c>
      <c r="L300" t="s">
        <v>60</v>
      </c>
      <c r="N300">
        <v>0</v>
      </c>
      <c r="O300">
        <v>0</v>
      </c>
      <c r="P300">
        <v>0</v>
      </c>
    </row>
    <row r="301" spans="1:16" hidden="1" x14ac:dyDescent="0.35">
      <c r="A301">
        <v>301</v>
      </c>
      <c r="B301" s="50">
        <v>0</v>
      </c>
      <c r="C301" s="50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165</v>
      </c>
      <c r="J301">
        <v>0</v>
      </c>
      <c r="L301" t="s">
        <v>60</v>
      </c>
      <c r="N301">
        <v>0</v>
      </c>
      <c r="O301">
        <v>0</v>
      </c>
      <c r="P301">
        <v>0</v>
      </c>
    </row>
    <row r="302" spans="1:16" hidden="1" x14ac:dyDescent="0.35">
      <c r="A302">
        <v>302</v>
      </c>
      <c r="B302" s="50">
        <v>0</v>
      </c>
      <c r="C302" s="50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166</v>
      </c>
      <c r="J302">
        <v>0</v>
      </c>
      <c r="L302" t="s">
        <v>60</v>
      </c>
      <c r="N302">
        <v>0</v>
      </c>
      <c r="O302">
        <v>0</v>
      </c>
      <c r="P302">
        <v>0</v>
      </c>
    </row>
    <row r="303" spans="1:16" hidden="1" x14ac:dyDescent="0.35">
      <c r="A303">
        <v>303</v>
      </c>
      <c r="B303" s="50">
        <v>0</v>
      </c>
      <c r="C303" s="50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167</v>
      </c>
      <c r="J303">
        <v>0</v>
      </c>
      <c r="L303" t="s">
        <v>60</v>
      </c>
      <c r="N303">
        <v>0</v>
      </c>
      <c r="O303">
        <v>0</v>
      </c>
      <c r="P303">
        <v>0</v>
      </c>
    </row>
    <row r="304" spans="1:16" hidden="1" x14ac:dyDescent="0.35">
      <c r="A304">
        <v>304</v>
      </c>
      <c r="B304" s="50">
        <v>0</v>
      </c>
      <c r="C304" s="50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168</v>
      </c>
      <c r="J304">
        <v>0</v>
      </c>
      <c r="L304" t="s">
        <v>60</v>
      </c>
      <c r="N304">
        <v>0</v>
      </c>
      <c r="O304">
        <v>0</v>
      </c>
      <c r="P304">
        <v>0</v>
      </c>
    </row>
    <row r="305" spans="1:16" hidden="1" x14ac:dyDescent="0.35">
      <c r="A305">
        <v>305</v>
      </c>
      <c r="B305" s="50">
        <v>0</v>
      </c>
      <c r="C305" s="50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169</v>
      </c>
      <c r="J305">
        <v>0</v>
      </c>
      <c r="L305" t="s">
        <v>60</v>
      </c>
      <c r="N305">
        <v>0</v>
      </c>
      <c r="O305">
        <v>0</v>
      </c>
      <c r="P305">
        <v>0</v>
      </c>
    </row>
    <row r="306" spans="1:16" hidden="1" x14ac:dyDescent="0.35">
      <c r="A306">
        <v>306</v>
      </c>
      <c r="B306" s="50">
        <v>0</v>
      </c>
      <c r="C306" s="50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170</v>
      </c>
      <c r="J306">
        <v>0</v>
      </c>
      <c r="L306" t="s">
        <v>60</v>
      </c>
      <c r="N306">
        <v>0</v>
      </c>
      <c r="O306">
        <v>0</v>
      </c>
      <c r="P306">
        <v>0</v>
      </c>
    </row>
    <row r="307" spans="1:16" hidden="1" x14ac:dyDescent="0.35">
      <c r="A307">
        <v>307</v>
      </c>
      <c r="B307" s="50">
        <v>0</v>
      </c>
      <c r="C307" s="50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171</v>
      </c>
      <c r="J307">
        <v>0</v>
      </c>
      <c r="L307" t="s">
        <v>60</v>
      </c>
      <c r="N307">
        <v>0</v>
      </c>
      <c r="O307">
        <v>0</v>
      </c>
      <c r="P307">
        <v>0</v>
      </c>
    </row>
    <row r="308" spans="1:16" hidden="1" x14ac:dyDescent="0.35"/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0"/>
  <sheetViews>
    <sheetView tabSelected="1" workbookViewId="0">
      <pane xSplit="8" topLeftCell="I1" activePane="topRight" state="frozen"/>
      <selection pane="topRight" activeCell="J11" sqref="J11"/>
    </sheetView>
  </sheetViews>
  <sheetFormatPr defaultRowHeight="14.5" x14ac:dyDescent="0.35"/>
  <cols>
    <col min="1" max="1" width="22.54296875" bestFit="1" customWidth="1"/>
    <col min="2" max="2" width="9.7265625" bestFit="1" customWidth="1"/>
    <col min="3" max="3" width="14.54296875" style="21" bestFit="1" customWidth="1"/>
    <col min="4" max="4" width="13" style="21" customWidth="1"/>
    <col min="5" max="5" width="10.90625" bestFit="1" customWidth="1"/>
    <col min="6" max="7" width="7.453125" bestFit="1" customWidth="1"/>
    <col min="8" max="8" width="8.453125" customWidth="1"/>
  </cols>
  <sheetData>
    <row r="1" spans="1:9" s="76" customFormat="1" x14ac:dyDescent="0.35">
      <c r="A1" s="98" t="s">
        <v>264</v>
      </c>
      <c r="B1" s="98"/>
      <c r="C1" s="98"/>
      <c r="D1" s="98"/>
      <c r="E1" s="98"/>
      <c r="F1" s="98"/>
      <c r="G1" s="98"/>
      <c r="H1" s="98"/>
    </row>
    <row r="2" spans="1:9" x14ac:dyDescent="0.35">
      <c r="A2" t="s">
        <v>64</v>
      </c>
      <c r="C2" s="19">
        <v>10000</v>
      </c>
      <c r="D2" s="21" t="s">
        <v>261</v>
      </c>
      <c r="E2" s="19">
        <v>1000</v>
      </c>
      <c r="F2" s="98" t="s">
        <v>263</v>
      </c>
      <c r="G2" s="98"/>
      <c r="H2" s="98"/>
    </row>
    <row r="3" spans="1:9" ht="43.5" x14ac:dyDescent="0.35">
      <c r="A3" t="s">
        <v>259</v>
      </c>
      <c r="B3" t="s">
        <v>268</v>
      </c>
      <c r="C3" s="21" t="s">
        <v>260</v>
      </c>
      <c r="D3" s="21" t="s">
        <v>136</v>
      </c>
      <c r="E3" t="s">
        <v>262</v>
      </c>
      <c r="F3" s="81" t="s">
        <v>267</v>
      </c>
      <c r="G3" s="82" t="s">
        <v>266</v>
      </c>
      <c r="H3" s="83" t="s">
        <v>265</v>
      </c>
    </row>
    <row r="4" spans="1:9" x14ac:dyDescent="0.35">
      <c r="A4" s="88">
        <v>46171</v>
      </c>
      <c r="B4" s="21">
        <f>SUM(Trades!I2:I15)</f>
        <v>-482.46000000000009</v>
      </c>
      <c r="C4" s="71">
        <f>E2+B4</f>
        <v>517.54</v>
      </c>
      <c r="D4" s="22">
        <f>C2+B4</f>
        <v>9517.5399999999991</v>
      </c>
      <c r="E4" s="22">
        <v>0</v>
      </c>
      <c r="F4" s="89">
        <v>0.01</v>
      </c>
      <c r="G4" s="89">
        <v>5.0000000000000001E-3</v>
      </c>
      <c r="H4" s="90">
        <v>2.5000000000000001E-3</v>
      </c>
      <c r="I4" s="78"/>
    </row>
    <row r="5" spans="1:9" x14ac:dyDescent="0.35">
      <c r="A5" s="88">
        <f>A4+3</f>
        <v>46174</v>
      </c>
      <c r="B5" s="22">
        <f>Trades!I16</f>
        <v>113.05000000000001</v>
      </c>
      <c r="C5" s="71">
        <f>C4+B5</f>
        <v>630.58999999999992</v>
      </c>
      <c r="D5" s="22">
        <f>D4+B5</f>
        <v>9630.5899999999983</v>
      </c>
      <c r="E5" s="22">
        <f>D4*H5</f>
        <v>23.793849999999999</v>
      </c>
      <c r="F5" s="89">
        <v>0.01</v>
      </c>
      <c r="G5" s="89">
        <v>5.0000000000000001E-3</v>
      </c>
      <c r="H5" s="90">
        <v>2.5000000000000001E-3</v>
      </c>
      <c r="I5" s="78"/>
    </row>
    <row r="6" spans="1:9" x14ac:dyDescent="0.35">
      <c r="A6" s="88">
        <f>A5+1</f>
        <v>46175</v>
      </c>
      <c r="B6" s="22">
        <f>SUM(Trades!I17:I24)</f>
        <v>369.4</v>
      </c>
      <c r="C6" s="71">
        <f t="shared" ref="C6:C34" si="0">C5+B6</f>
        <v>999.9899999999999</v>
      </c>
      <c r="D6" s="22">
        <f t="shared" ref="D6:D34" si="1">D5+B6</f>
        <v>9999.989999999998</v>
      </c>
      <c r="E6" s="22">
        <f>D5*H6</f>
        <v>24.076474999999995</v>
      </c>
      <c r="F6" s="89">
        <v>0.01</v>
      </c>
      <c r="G6" s="89">
        <v>5.0000000000000001E-3</v>
      </c>
      <c r="H6" s="90">
        <v>2.5000000000000001E-3</v>
      </c>
      <c r="I6" s="75"/>
    </row>
    <row r="7" spans="1:9" x14ac:dyDescent="0.35">
      <c r="A7" s="88">
        <f t="shared" ref="A7:A9" si="2">A6+1</f>
        <v>46176</v>
      </c>
      <c r="B7" s="22">
        <f>SUM(Trades!I25:I28)</f>
        <v>-7.4999999999999858</v>
      </c>
      <c r="C7" s="71">
        <f>C6+B7</f>
        <v>992.4899999999999</v>
      </c>
      <c r="D7" s="22">
        <f>D6+B7</f>
        <v>9992.489999999998</v>
      </c>
      <c r="E7" s="22">
        <f>D6*G7</f>
        <v>49.999949999999991</v>
      </c>
      <c r="F7" s="89">
        <v>0.01</v>
      </c>
      <c r="G7" s="89">
        <v>5.0000000000000001E-3</v>
      </c>
      <c r="H7" s="90">
        <v>2.5000000000000001E-3</v>
      </c>
      <c r="I7" s="75"/>
    </row>
    <row r="8" spans="1:9" x14ac:dyDescent="0.35">
      <c r="A8" s="88">
        <f t="shared" si="2"/>
        <v>46177</v>
      </c>
      <c r="B8" s="22">
        <f>SUM(Trades!I29:I33)</f>
        <v>232.45999999999995</v>
      </c>
      <c r="C8" s="71">
        <f>C7+B8</f>
        <v>1224.9499999999998</v>
      </c>
      <c r="D8" s="22">
        <f>D7+B8</f>
        <v>10224.949999999997</v>
      </c>
      <c r="E8" s="22">
        <f>D7*F8</f>
        <v>99.92489999999998</v>
      </c>
      <c r="F8" s="89">
        <v>0.01</v>
      </c>
      <c r="G8" s="89">
        <v>5.0000000000000001E-3</v>
      </c>
      <c r="H8" s="90">
        <v>2.5000000000000001E-3</v>
      </c>
      <c r="I8" s="79"/>
    </row>
    <row r="9" spans="1:9" x14ac:dyDescent="0.35">
      <c r="A9" s="100">
        <f t="shared" si="2"/>
        <v>46178</v>
      </c>
      <c r="B9" s="19">
        <f t="shared" ref="B9:B34" si="3">E9*2</f>
        <v>253.57875999999993</v>
      </c>
      <c r="C9" s="71">
        <f>C8+B9</f>
        <v>1478.5287599999997</v>
      </c>
      <c r="D9" s="19">
        <f t="shared" si="1"/>
        <v>10478.528759999997</v>
      </c>
      <c r="E9" s="19">
        <f t="shared" ref="E9:E34" si="4">D8*F9</f>
        <v>126.78937999999997</v>
      </c>
      <c r="F9" s="66">
        <v>1.24E-2</v>
      </c>
      <c r="G9" s="66">
        <v>5.0000000000000001E-3</v>
      </c>
      <c r="H9" s="84">
        <v>2.5000000000000001E-3</v>
      </c>
      <c r="I9" s="77"/>
    </row>
    <row r="10" spans="1:9" x14ac:dyDescent="0.35">
      <c r="A10" s="100">
        <f>A9+3</f>
        <v>46181</v>
      </c>
      <c r="B10" s="19">
        <f t="shared" si="3"/>
        <v>259.86751324799991</v>
      </c>
      <c r="C10" s="71">
        <f>C9+B10</f>
        <v>1738.3962732479995</v>
      </c>
      <c r="D10" s="19">
        <f t="shared" si="1"/>
        <v>10738.396273247998</v>
      </c>
      <c r="E10" s="19">
        <f t="shared" si="4"/>
        <v>129.93375662399995</v>
      </c>
      <c r="F10" s="66">
        <v>1.24E-2</v>
      </c>
      <c r="G10" s="66">
        <v>5.0000000000000001E-3</v>
      </c>
      <c r="H10" s="84">
        <v>2.5000000000000001E-3</v>
      </c>
      <c r="I10" s="78"/>
    </row>
    <row r="11" spans="1:9" s="12" customFormat="1" x14ac:dyDescent="0.35">
      <c r="A11" s="100">
        <f>A10+1</f>
        <v>46182</v>
      </c>
      <c r="B11" s="19">
        <f t="shared" si="3"/>
        <v>266.31222757655036</v>
      </c>
      <c r="C11" s="71">
        <f>C10+B11</f>
        <v>2004.7085008245499</v>
      </c>
      <c r="D11" s="19">
        <f>D10+B11</f>
        <v>11004.708500824549</v>
      </c>
      <c r="E11" s="19">
        <f t="shared" si="4"/>
        <v>133.15611378827518</v>
      </c>
      <c r="F11" s="66">
        <v>1.24E-2</v>
      </c>
      <c r="G11" s="66">
        <v>5.0000000000000001E-3</v>
      </c>
      <c r="H11" s="84">
        <v>2.5000000000000001E-3</v>
      </c>
      <c r="I11" s="13"/>
    </row>
    <row r="12" spans="1:9" s="12" customFormat="1" x14ac:dyDescent="0.35">
      <c r="A12" s="99">
        <f t="shared" ref="A12:A14" si="5">A11+1</f>
        <v>46183</v>
      </c>
      <c r="B12" s="19">
        <f t="shared" si="3"/>
        <v>220.09417001649098</v>
      </c>
      <c r="C12" s="71">
        <f t="shared" si="0"/>
        <v>2224.8026708410407</v>
      </c>
      <c r="D12" s="19">
        <f t="shared" si="1"/>
        <v>11224.80267084104</v>
      </c>
      <c r="E12" s="19">
        <f t="shared" si="4"/>
        <v>110.04708500824549</v>
      </c>
      <c r="F12" s="66">
        <v>0.01</v>
      </c>
      <c r="G12" s="66">
        <v>5.0000000000000001E-3</v>
      </c>
      <c r="H12" s="84">
        <v>2.5000000000000001E-3</v>
      </c>
      <c r="I12" s="13"/>
    </row>
    <row r="13" spans="1:9" s="12" customFormat="1" x14ac:dyDescent="0.35">
      <c r="A13" s="99">
        <f t="shared" si="5"/>
        <v>46184</v>
      </c>
      <c r="B13" s="19">
        <f t="shared" si="3"/>
        <v>224.49605341682081</v>
      </c>
      <c r="C13" s="71">
        <f t="shared" si="0"/>
        <v>2449.2987242578615</v>
      </c>
      <c r="D13" s="19">
        <f t="shared" si="1"/>
        <v>11449.29872425786</v>
      </c>
      <c r="E13" s="19">
        <f t="shared" si="4"/>
        <v>112.24802670841041</v>
      </c>
      <c r="F13" s="66">
        <v>0.01</v>
      </c>
      <c r="G13" s="66">
        <v>5.0000000000000001E-3</v>
      </c>
      <c r="H13" s="84">
        <v>2.5000000000000001E-3</v>
      </c>
      <c r="I13" s="13"/>
    </row>
    <row r="14" spans="1:9" s="12" customFormat="1" x14ac:dyDescent="0.35">
      <c r="A14" s="99">
        <f t="shared" si="5"/>
        <v>46185</v>
      </c>
      <c r="B14" s="19">
        <f t="shared" si="3"/>
        <v>228.98597448515721</v>
      </c>
      <c r="C14" s="71">
        <f t="shared" si="0"/>
        <v>2678.2846987430189</v>
      </c>
      <c r="D14" s="19">
        <f t="shared" si="1"/>
        <v>11678.284698743017</v>
      </c>
      <c r="E14" s="19">
        <f t="shared" si="4"/>
        <v>114.49298724257861</v>
      </c>
      <c r="F14" s="66">
        <v>0.01</v>
      </c>
      <c r="G14" s="66">
        <v>5.0000000000000001E-3</v>
      </c>
      <c r="H14" s="84">
        <v>2.5000000000000001E-3</v>
      </c>
      <c r="I14" s="13"/>
    </row>
    <row r="15" spans="1:9" s="12" customFormat="1" x14ac:dyDescent="0.35">
      <c r="A15" s="85">
        <f>A14+3</f>
        <v>46188</v>
      </c>
      <c r="B15" s="19">
        <f t="shared" si="3"/>
        <v>233.56569397486032</v>
      </c>
      <c r="C15" s="71">
        <f t="shared" si="0"/>
        <v>2911.850392717879</v>
      </c>
      <c r="D15" s="19">
        <f t="shared" si="1"/>
        <v>11911.850392717877</v>
      </c>
      <c r="E15" s="19">
        <f t="shared" si="4"/>
        <v>116.78284698743016</v>
      </c>
      <c r="F15" s="66">
        <v>0.01</v>
      </c>
      <c r="G15" s="66">
        <v>5.0000000000000001E-3</v>
      </c>
      <c r="H15" s="84">
        <v>2.5000000000000001E-3</v>
      </c>
      <c r="I15" s="13"/>
    </row>
    <row r="16" spans="1:9" s="12" customFormat="1" x14ac:dyDescent="0.35">
      <c r="A16" s="85">
        <f>A15+1</f>
        <v>46189</v>
      </c>
      <c r="B16" s="19">
        <f t="shared" si="3"/>
        <v>238.23700785435756</v>
      </c>
      <c r="C16" s="71">
        <f t="shared" si="0"/>
        <v>3150.0874005722367</v>
      </c>
      <c r="D16" s="19">
        <f t="shared" si="1"/>
        <v>12150.087400572234</v>
      </c>
      <c r="E16" s="19">
        <f t="shared" si="4"/>
        <v>119.11850392717878</v>
      </c>
      <c r="F16" s="66">
        <v>0.01</v>
      </c>
      <c r="G16" s="66">
        <v>5.0000000000000001E-3</v>
      </c>
      <c r="H16" s="84">
        <v>2.5000000000000001E-3</v>
      </c>
      <c r="I16" s="13"/>
    </row>
    <row r="17" spans="1:9" s="12" customFormat="1" x14ac:dyDescent="0.35">
      <c r="A17" s="85">
        <f t="shared" ref="A17:A19" si="6">A16+1</f>
        <v>46190</v>
      </c>
      <c r="B17" s="19">
        <f t="shared" si="3"/>
        <v>243.0017480114447</v>
      </c>
      <c r="C17" s="71">
        <f t="shared" si="0"/>
        <v>3393.0891485836814</v>
      </c>
      <c r="D17" s="19">
        <f t="shared" si="1"/>
        <v>12393.089148583678</v>
      </c>
      <c r="E17" s="19">
        <f t="shared" si="4"/>
        <v>121.50087400572235</v>
      </c>
      <c r="F17" s="66">
        <v>0.01</v>
      </c>
      <c r="G17" s="66">
        <v>5.0000000000000001E-3</v>
      </c>
      <c r="H17" s="84">
        <v>2.5000000000000001E-3</v>
      </c>
      <c r="I17" s="13"/>
    </row>
    <row r="18" spans="1:9" x14ac:dyDescent="0.35">
      <c r="A18" s="85">
        <f t="shared" si="6"/>
        <v>46191</v>
      </c>
      <c r="B18" s="19">
        <f t="shared" si="3"/>
        <v>247.86178297167356</v>
      </c>
      <c r="C18" s="71">
        <f t="shared" si="0"/>
        <v>3640.9509315553551</v>
      </c>
      <c r="D18" s="19">
        <f t="shared" si="1"/>
        <v>12640.950931555351</v>
      </c>
      <c r="E18" s="19">
        <f t="shared" si="4"/>
        <v>123.93089148583678</v>
      </c>
      <c r="F18" s="66">
        <v>0.01</v>
      </c>
      <c r="G18" s="66">
        <v>5.0000000000000001E-3</v>
      </c>
      <c r="H18" s="84">
        <v>2.5000000000000001E-3</v>
      </c>
      <c r="I18" s="78"/>
    </row>
    <row r="19" spans="1:9" x14ac:dyDescent="0.35">
      <c r="A19" s="85">
        <f t="shared" si="6"/>
        <v>46192</v>
      </c>
      <c r="B19" s="19">
        <f t="shared" si="3"/>
        <v>252.81901863110704</v>
      </c>
      <c r="C19" s="71">
        <f t="shared" si="0"/>
        <v>3893.7699501864622</v>
      </c>
      <c r="D19" s="19">
        <f t="shared" si="1"/>
        <v>12893.769950186459</v>
      </c>
      <c r="E19" s="19">
        <f t="shared" si="4"/>
        <v>126.40950931555352</v>
      </c>
      <c r="F19" s="66">
        <v>0.01</v>
      </c>
      <c r="G19" s="66">
        <v>5.0000000000000001E-3</v>
      </c>
      <c r="H19" s="84">
        <v>2.5000000000000001E-3</v>
      </c>
      <c r="I19" s="78"/>
    </row>
    <row r="20" spans="1:9" s="52" customFormat="1" x14ac:dyDescent="0.35">
      <c r="A20" s="85">
        <f>A19+3</f>
        <v>46195</v>
      </c>
      <c r="B20" s="19">
        <f t="shared" si="3"/>
        <v>257.87539900372917</v>
      </c>
      <c r="C20" s="71">
        <f t="shared" si="0"/>
        <v>4151.6453491901912</v>
      </c>
      <c r="D20" s="19">
        <f t="shared" si="1"/>
        <v>13151.645349190188</v>
      </c>
      <c r="E20" s="19">
        <f t="shared" si="4"/>
        <v>128.93769950186459</v>
      </c>
      <c r="F20" s="66">
        <v>0.01</v>
      </c>
      <c r="G20" s="66">
        <v>5.0000000000000001E-3</v>
      </c>
      <c r="H20" s="84">
        <v>2.5000000000000001E-3</v>
      </c>
      <c r="I20" s="80"/>
    </row>
    <row r="21" spans="1:9" x14ac:dyDescent="0.35">
      <c r="A21" s="85">
        <f>A20+1</f>
        <v>46196</v>
      </c>
      <c r="B21" s="19">
        <f t="shared" si="3"/>
        <v>263.0329069838038</v>
      </c>
      <c r="C21" s="71">
        <f t="shared" si="0"/>
        <v>4414.6782561739947</v>
      </c>
      <c r="D21" s="19">
        <f t="shared" si="1"/>
        <v>13414.678256173993</v>
      </c>
      <c r="E21" s="19">
        <f t="shared" si="4"/>
        <v>131.5164534919019</v>
      </c>
      <c r="F21" s="66">
        <v>0.01</v>
      </c>
      <c r="G21" s="66">
        <v>5.0000000000000001E-3</v>
      </c>
      <c r="H21" s="84">
        <v>2.5000000000000001E-3</v>
      </c>
      <c r="I21" s="78"/>
    </row>
    <row r="22" spans="1:9" x14ac:dyDescent="0.35">
      <c r="A22" s="85">
        <f t="shared" ref="A22:A24" si="7">A21+1</f>
        <v>46197</v>
      </c>
      <c r="B22" s="19">
        <f t="shared" si="3"/>
        <v>268.29356512347988</v>
      </c>
      <c r="C22" s="71">
        <f t="shared" si="0"/>
        <v>4682.9718212974749</v>
      </c>
      <c r="D22" s="19">
        <f t="shared" si="1"/>
        <v>13682.971821297473</v>
      </c>
      <c r="E22" s="19">
        <f t="shared" si="4"/>
        <v>134.14678256173994</v>
      </c>
      <c r="F22" s="66">
        <v>0.01</v>
      </c>
      <c r="G22" s="66">
        <v>5.0000000000000001E-3</v>
      </c>
      <c r="H22" s="84">
        <v>2.5000000000000001E-3</v>
      </c>
      <c r="I22" s="78"/>
    </row>
    <row r="23" spans="1:9" x14ac:dyDescent="0.35">
      <c r="A23" s="85">
        <f t="shared" si="7"/>
        <v>46198</v>
      </c>
      <c r="B23" s="19">
        <f t="shared" si="3"/>
        <v>273.65943642594948</v>
      </c>
      <c r="C23" s="71">
        <f t="shared" si="0"/>
        <v>4956.6312577234239</v>
      </c>
      <c r="D23" s="19">
        <f t="shared" si="1"/>
        <v>13956.631257723422</v>
      </c>
      <c r="E23" s="19">
        <f t="shared" si="4"/>
        <v>136.82971821297474</v>
      </c>
      <c r="F23" s="66">
        <v>0.01</v>
      </c>
      <c r="G23" s="66">
        <v>5.0000000000000001E-3</v>
      </c>
      <c r="H23" s="84">
        <v>2.5000000000000001E-3</v>
      </c>
      <c r="I23" s="78"/>
    </row>
    <row r="24" spans="1:9" x14ac:dyDescent="0.35">
      <c r="A24" s="85">
        <f t="shared" si="7"/>
        <v>46199</v>
      </c>
      <c r="B24" s="19">
        <f t="shared" si="3"/>
        <v>279.13262515446843</v>
      </c>
      <c r="C24" s="71">
        <f t="shared" si="0"/>
        <v>5235.7638828778927</v>
      </c>
      <c r="D24" s="19">
        <f t="shared" si="1"/>
        <v>14235.763882877891</v>
      </c>
      <c r="E24" s="19">
        <f t="shared" si="4"/>
        <v>139.56631257723421</v>
      </c>
      <c r="F24" s="66">
        <v>0.01</v>
      </c>
      <c r="G24" s="66">
        <v>5.0000000000000001E-3</v>
      </c>
      <c r="H24" s="84">
        <v>2.5000000000000001E-3</v>
      </c>
      <c r="I24" s="78"/>
    </row>
    <row r="25" spans="1:9" x14ac:dyDescent="0.35">
      <c r="A25" s="85">
        <f>A24+3</f>
        <v>46202</v>
      </c>
      <c r="B25" s="19">
        <f t="shared" si="3"/>
        <v>284.71527765755781</v>
      </c>
      <c r="C25" s="71">
        <f t="shared" si="0"/>
        <v>5520.4791605354503</v>
      </c>
      <c r="D25" s="19">
        <f t="shared" si="1"/>
        <v>14520.479160535449</v>
      </c>
      <c r="E25" s="19">
        <f t="shared" si="4"/>
        <v>142.3576388287789</v>
      </c>
      <c r="F25" s="66">
        <v>0.01</v>
      </c>
      <c r="G25" s="66">
        <v>5.0000000000000001E-3</v>
      </c>
      <c r="H25" s="84">
        <v>2.5000000000000001E-3</v>
      </c>
      <c r="I25" s="78"/>
    </row>
    <row r="26" spans="1:9" x14ac:dyDescent="0.35">
      <c r="A26" s="85">
        <f>A25+1</f>
        <v>46203</v>
      </c>
      <c r="B26" s="19">
        <f t="shared" si="3"/>
        <v>290.409583210709</v>
      </c>
      <c r="C26" s="71">
        <f t="shared" si="0"/>
        <v>5810.888743746159</v>
      </c>
      <c r="D26" s="19">
        <f t="shared" si="1"/>
        <v>14810.888743746158</v>
      </c>
      <c r="E26" s="19">
        <f t="shared" si="4"/>
        <v>145.2047916053545</v>
      </c>
      <c r="F26" s="66">
        <v>0.01</v>
      </c>
      <c r="G26" s="66">
        <v>5.0000000000000001E-3</v>
      </c>
      <c r="H26" s="84">
        <v>2.5000000000000001E-3</v>
      </c>
      <c r="I26" s="78"/>
    </row>
    <row r="27" spans="1:9" x14ac:dyDescent="0.35">
      <c r="A27" s="85">
        <f t="shared" ref="A27:A29" si="8">A26+1</f>
        <v>46204</v>
      </c>
      <c r="B27" s="19">
        <f t="shared" si="3"/>
        <v>296.21777487492318</v>
      </c>
      <c r="C27" s="71">
        <f t="shared" si="0"/>
        <v>6107.1065186210817</v>
      </c>
      <c r="D27" s="19">
        <f t="shared" si="1"/>
        <v>15107.106518621082</v>
      </c>
      <c r="E27" s="19">
        <f t="shared" si="4"/>
        <v>148.10888743746159</v>
      </c>
      <c r="F27" s="66">
        <v>0.01</v>
      </c>
      <c r="G27" s="66">
        <v>5.0000000000000001E-3</v>
      </c>
      <c r="H27" s="84">
        <v>2.5000000000000001E-3</v>
      </c>
      <c r="I27" s="78"/>
    </row>
    <row r="28" spans="1:9" x14ac:dyDescent="0.35">
      <c r="A28" s="85">
        <f t="shared" si="8"/>
        <v>46205</v>
      </c>
      <c r="B28" s="19">
        <f t="shared" si="3"/>
        <v>302.14213037242166</v>
      </c>
      <c r="C28" s="71">
        <f t="shared" si="0"/>
        <v>6409.2486489935036</v>
      </c>
      <c r="D28" s="19">
        <f t="shared" si="1"/>
        <v>15409.248648993504</v>
      </c>
      <c r="E28" s="19">
        <f t="shared" si="4"/>
        <v>151.07106518621083</v>
      </c>
      <c r="F28" s="66">
        <v>0.01</v>
      </c>
      <c r="G28" s="66">
        <v>5.0000000000000001E-3</v>
      </c>
      <c r="H28" s="84">
        <v>2.5000000000000001E-3</v>
      </c>
    </row>
    <row r="29" spans="1:9" x14ac:dyDescent="0.35">
      <c r="A29" s="85">
        <f t="shared" si="8"/>
        <v>46206</v>
      </c>
      <c r="B29" s="19">
        <f t="shared" si="3"/>
        <v>308.18497297987005</v>
      </c>
      <c r="C29" s="71">
        <f t="shared" si="0"/>
        <v>6717.4336219733741</v>
      </c>
      <c r="D29" s="19">
        <f t="shared" si="1"/>
        <v>15717.433621973374</v>
      </c>
      <c r="E29" s="19">
        <f t="shared" si="4"/>
        <v>154.09248648993503</v>
      </c>
      <c r="F29" s="66">
        <v>0.01</v>
      </c>
      <c r="G29" s="66">
        <v>5.0000000000000001E-3</v>
      </c>
      <c r="H29" s="84">
        <v>2.5000000000000001E-3</v>
      </c>
    </row>
    <row r="30" spans="1:9" x14ac:dyDescent="0.35">
      <c r="A30" s="85">
        <f>A29+3</f>
        <v>46209</v>
      </c>
      <c r="B30" s="19">
        <f t="shared" si="3"/>
        <v>314.34867243946746</v>
      </c>
      <c r="C30" s="71">
        <f t="shared" si="0"/>
        <v>7031.782294412842</v>
      </c>
      <c r="D30" s="19">
        <f t="shared" si="1"/>
        <v>16031.782294412842</v>
      </c>
      <c r="E30" s="19">
        <f t="shared" si="4"/>
        <v>157.17433621973373</v>
      </c>
      <c r="F30" s="66">
        <v>0.01</v>
      </c>
      <c r="G30" s="66">
        <v>5.0000000000000001E-3</v>
      </c>
      <c r="H30" s="84">
        <v>2.5000000000000001E-3</v>
      </c>
    </row>
    <row r="31" spans="1:9" x14ac:dyDescent="0.35">
      <c r="A31" s="85">
        <f>A30+1</f>
        <v>46210</v>
      </c>
      <c r="B31" s="19">
        <f t="shared" si="3"/>
        <v>320.63564588825687</v>
      </c>
      <c r="C31" s="71">
        <f t="shared" si="0"/>
        <v>7352.4179403010985</v>
      </c>
      <c r="D31" s="19">
        <f t="shared" si="1"/>
        <v>16352.417940301098</v>
      </c>
      <c r="E31" s="19">
        <f t="shared" si="4"/>
        <v>160.31782294412844</v>
      </c>
      <c r="F31" s="66">
        <v>0.01</v>
      </c>
      <c r="G31" s="66">
        <v>5.0000000000000001E-3</v>
      </c>
      <c r="H31" s="84">
        <v>2.5000000000000001E-3</v>
      </c>
    </row>
    <row r="32" spans="1:9" x14ac:dyDescent="0.35">
      <c r="A32" s="85">
        <f t="shared" ref="A32:A34" si="9">A31+1</f>
        <v>46211</v>
      </c>
      <c r="B32" s="19">
        <f t="shared" si="3"/>
        <v>327.04835880602195</v>
      </c>
      <c r="C32" s="71">
        <f t="shared" si="0"/>
        <v>7679.46629910712</v>
      </c>
      <c r="D32" s="19">
        <f t="shared" si="1"/>
        <v>16679.46629910712</v>
      </c>
      <c r="E32" s="19">
        <f t="shared" si="4"/>
        <v>163.52417940301098</v>
      </c>
      <c r="F32" s="66">
        <v>0.01</v>
      </c>
      <c r="G32" s="66">
        <v>5.0000000000000001E-3</v>
      </c>
      <c r="H32" s="84">
        <v>2.5000000000000001E-3</v>
      </c>
    </row>
    <row r="33" spans="1:8" x14ac:dyDescent="0.35">
      <c r="A33" s="85">
        <f t="shared" si="9"/>
        <v>46212</v>
      </c>
      <c r="B33" s="19">
        <f t="shared" si="3"/>
        <v>333.58932598214238</v>
      </c>
      <c r="C33" s="71">
        <f t="shared" si="0"/>
        <v>8013.0556250892623</v>
      </c>
      <c r="D33" s="19">
        <f t="shared" si="1"/>
        <v>17013.055625089262</v>
      </c>
      <c r="E33" s="19">
        <f t="shared" si="4"/>
        <v>166.79466299107119</v>
      </c>
      <c r="F33" s="66">
        <v>0.01</v>
      </c>
      <c r="G33" s="66">
        <v>5.0000000000000001E-3</v>
      </c>
      <c r="H33" s="84">
        <v>2.5000000000000001E-3</v>
      </c>
    </row>
    <row r="34" spans="1:8" x14ac:dyDescent="0.35">
      <c r="A34" s="85">
        <f t="shared" si="9"/>
        <v>46213</v>
      </c>
      <c r="B34" s="19">
        <f t="shared" si="3"/>
        <v>340.26111250178525</v>
      </c>
      <c r="C34" s="71">
        <f t="shared" si="0"/>
        <v>8353.3167375910471</v>
      </c>
      <c r="D34" s="19">
        <f t="shared" si="1"/>
        <v>17353.316737591049</v>
      </c>
      <c r="E34" s="19">
        <f t="shared" si="4"/>
        <v>170.13055625089262</v>
      </c>
      <c r="F34" s="66">
        <v>0.01</v>
      </c>
      <c r="G34" s="66">
        <v>5.0000000000000001E-3</v>
      </c>
      <c r="H34" s="84">
        <v>2.5000000000000001E-3</v>
      </c>
    </row>
    <row r="35" spans="1:8" x14ac:dyDescent="0.35">
      <c r="C35" s="76"/>
      <c r="D35" s="19"/>
      <c r="E35" s="19"/>
    </row>
    <row r="36" spans="1:8" x14ac:dyDescent="0.35">
      <c r="C36" s="76"/>
      <c r="D36" s="19"/>
      <c r="E36" s="19"/>
    </row>
    <row r="37" spans="1:8" x14ac:dyDescent="0.35">
      <c r="C37" s="76"/>
      <c r="D37" s="19"/>
      <c r="E37" s="19"/>
    </row>
    <row r="38" spans="1:8" x14ac:dyDescent="0.35">
      <c r="C38" s="76"/>
      <c r="D38" s="19"/>
      <c r="E38" s="19"/>
    </row>
    <row r="39" spans="1:8" x14ac:dyDescent="0.35">
      <c r="C39" s="76"/>
      <c r="D39" s="19"/>
      <c r="E39" s="19"/>
    </row>
    <row r="40" spans="1:8" x14ac:dyDescent="0.35">
      <c r="C40" s="76"/>
      <c r="D40" s="19"/>
      <c r="E40" s="19"/>
    </row>
    <row r="41" spans="1:8" x14ac:dyDescent="0.35">
      <c r="C41" s="76"/>
      <c r="D41" s="19"/>
      <c r="E41" s="19"/>
    </row>
    <row r="42" spans="1:8" x14ac:dyDescent="0.35">
      <c r="C42" s="76"/>
      <c r="D42" s="19"/>
      <c r="E42" s="19"/>
    </row>
    <row r="43" spans="1:8" x14ac:dyDescent="0.35">
      <c r="C43" s="76"/>
      <c r="D43" s="19"/>
      <c r="E43" s="19"/>
    </row>
    <row r="44" spans="1:8" x14ac:dyDescent="0.35">
      <c r="C44" s="76"/>
      <c r="D44" s="19"/>
      <c r="E44" s="19"/>
    </row>
    <row r="45" spans="1:8" x14ac:dyDescent="0.35">
      <c r="C45" s="76"/>
      <c r="D45" s="19"/>
      <c r="E45" s="19"/>
    </row>
    <row r="46" spans="1:8" x14ac:dyDescent="0.35">
      <c r="C46" s="76"/>
      <c r="D46" s="19"/>
      <c r="E46" s="19"/>
    </row>
    <row r="47" spans="1:8" x14ac:dyDescent="0.35">
      <c r="C47" s="76"/>
      <c r="D47" s="19"/>
      <c r="E47" s="19"/>
    </row>
    <row r="48" spans="1:8" x14ac:dyDescent="0.35">
      <c r="C48" s="76"/>
      <c r="D48" s="19"/>
      <c r="E48" s="19"/>
    </row>
    <row r="49" spans="3:5" x14ac:dyDescent="0.35">
      <c r="C49" s="76"/>
      <c r="D49" s="19"/>
      <c r="E49" s="19"/>
    </row>
    <row r="50" spans="3:5" x14ac:dyDescent="0.35">
      <c r="C50" s="76"/>
      <c r="D50" s="19"/>
      <c r="E50" s="19"/>
    </row>
    <row r="51" spans="3:5" x14ac:dyDescent="0.35">
      <c r="C51" s="76"/>
      <c r="D51" s="19"/>
      <c r="E51" s="19"/>
    </row>
    <row r="52" spans="3:5" x14ac:dyDescent="0.35">
      <c r="C52" s="76"/>
      <c r="D52" s="19"/>
      <c r="E52" s="19"/>
    </row>
    <row r="53" spans="3:5" x14ac:dyDescent="0.35">
      <c r="C53" s="76"/>
      <c r="D53" s="19"/>
      <c r="E53" s="19"/>
    </row>
    <row r="54" spans="3:5" x14ac:dyDescent="0.35">
      <c r="C54" s="76"/>
      <c r="D54" s="19"/>
      <c r="E54" s="19"/>
    </row>
    <row r="55" spans="3:5" x14ac:dyDescent="0.35">
      <c r="C55" s="76"/>
      <c r="D55" s="19"/>
      <c r="E55" s="19"/>
    </row>
    <row r="56" spans="3:5" x14ac:dyDescent="0.35">
      <c r="C56" s="76"/>
      <c r="D56" s="19"/>
      <c r="E56" s="19"/>
    </row>
    <row r="57" spans="3:5" x14ac:dyDescent="0.35">
      <c r="C57" s="76"/>
      <c r="D57" s="19"/>
      <c r="E57" s="19"/>
    </row>
    <row r="58" spans="3:5" x14ac:dyDescent="0.35">
      <c r="C58" s="76"/>
      <c r="D58" s="19"/>
      <c r="E58" s="19"/>
    </row>
    <row r="59" spans="3:5" x14ac:dyDescent="0.35">
      <c r="C59" s="76"/>
      <c r="D59" s="19"/>
      <c r="E59" s="19"/>
    </row>
    <row r="60" spans="3:5" x14ac:dyDescent="0.35">
      <c r="C60" s="76"/>
      <c r="D60" s="19"/>
      <c r="E60" s="19"/>
    </row>
    <row r="61" spans="3:5" x14ac:dyDescent="0.35">
      <c r="C61" s="76"/>
      <c r="D61" s="19"/>
      <c r="E61" s="19"/>
    </row>
    <row r="62" spans="3:5" x14ac:dyDescent="0.35">
      <c r="C62" s="76"/>
      <c r="D62" s="19"/>
      <c r="E62" s="19"/>
    </row>
    <row r="63" spans="3:5" x14ac:dyDescent="0.35">
      <c r="C63" s="76"/>
      <c r="D63" s="19"/>
      <c r="E63" s="19"/>
    </row>
    <row r="64" spans="3:5" x14ac:dyDescent="0.35">
      <c r="C64" s="76"/>
      <c r="D64" s="19"/>
      <c r="E64" s="19"/>
    </row>
    <row r="65" spans="3:5" x14ac:dyDescent="0.35">
      <c r="C65" s="76"/>
      <c r="D65" s="19"/>
      <c r="E65" s="19"/>
    </row>
    <row r="66" spans="3:5" x14ac:dyDescent="0.35">
      <c r="C66" s="76"/>
      <c r="D66" s="19"/>
      <c r="E66" s="19"/>
    </row>
    <row r="67" spans="3:5" x14ac:dyDescent="0.35">
      <c r="C67" s="76"/>
      <c r="D67" s="19"/>
      <c r="E67" s="19"/>
    </row>
    <row r="68" spans="3:5" x14ac:dyDescent="0.35">
      <c r="C68" s="76"/>
      <c r="D68" s="19"/>
      <c r="E68" s="19"/>
    </row>
    <row r="69" spans="3:5" x14ac:dyDescent="0.35">
      <c r="C69" s="76"/>
      <c r="D69" s="19"/>
      <c r="E69" s="19"/>
    </row>
    <row r="70" spans="3:5" x14ac:dyDescent="0.35">
      <c r="C70" s="76"/>
      <c r="D70" s="19"/>
      <c r="E70" s="19"/>
    </row>
    <row r="71" spans="3:5" x14ac:dyDescent="0.35">
      <c r="C71" s="76"/>
      <c r="D71" s="19"/>
      <c r="E71" s="19"/>
    </row>
    <row r="72" spans="3:5" x14ac:dyDescent="0.35">
      <c r="C72" s="76"/>
      <c r="D72" s="19"/>
      <c r="E72" s="19"/>
    </row>
    <row r="73" spans="3:5" x14ac:dyDescent="0.35">
      <c r="C73" s="76"/>
      <c r="D73" s="19"/>
      <c r="E73" s="19"/>
    </row>
    <row r="74" spans="3:5" x14ac:dyDescent="0.35">
      <c r="C74" s="76"/>
      <c r="D74" s="19"/>
      <c r="E74" s="19"/>
    </row>
    <row r="75" spans="3:5" x14ac:dyDescent="0.35">
      <c r="C75" s="76"/>
      <c r="D75" s="19"/>
      <c r="E75" s="19"/>
    </row>
    <row r="76" spans="3:5" x14ac:dyDescent="0.35">
      <c r="C76" s="76"/>
      <c r="D76" s="19"/>
      <c r="E76" s="19"/>
    </row>
    <row r="77" spans="3:5" x14ac:dyDescent="0.35">
      <c r="C77" s="76"/>
      <c r="D77" s="19"/>
      <c r="E77" s="19"/>
    </row>
    <row r="78" spans="3:5" x14ac:dyDescent="0.35">
      <c r="C78" s="76"/>
      <c r="D78" s="19"/>
      <c r="E78" s="19"/>
    </row>
    <row r="79" spans="3:5" x14ac:dyDescent="0.35">
      <c r="C79" s="76"/>
      <c r="D79" s="19"/>
      <c r="E79" s="19"/>
    </row>
    <row r="80" spans="3:5" x14ac:dyDescent="0.35">
      <c r="C80" s="76"/>
      <c r="D80" s="19"/>
      <c r="E80" s="19"/>
    </row>
    <row r="81" spans="3:5" x14ac:dyDescent="0.35">
      <c r="C81" s="76"/>
      <c r="D81" s="19"/>
      <c r="E81" s="19"/>
    </row>
    <row r="82" spans="3:5" x14ac:dyDescent="0.35">
      <c r="C82" s="76"/>
      <c r="D82" s="19"/>
      <c r="E82" s="19"/>
    </row>
    <row r="83" spans="3:5" x14ac:dyDescent="0.35">
      <c r="C83" s="76"/>
      <c r="D83" s="19"/>
      <c r="E83" s="19"/>
    </row>
    <row r="84" spans="3:5" x14ac:dyDescent="0.35">
      <c r="C84" s="76"/>
      <c r="D84" s="19"/>
      <c r="E84" s="19"/>
    </row>
    <row r="85" spans="3:5" x14ac:dyDescent="0.35">
      <c r="C85" s="76"/>
      <c r="D85" s="19"/>
      <c r="E85" s="19"/>
    </row>
    <row r="86" spans="3:5" x14ac:dyDescent="0.35">
      <c r="C86" s="76"/>
      <c r="D86" s="19"/>
      <c r="E86" s="19"/>
    </row>
    <row r="87" spans="3:5" x14ac:dyDescent="0.35">
      <c r="C87" s="76"/>
      <c r="D87" s="19"/>
      <c r="E87" s="19"/>
    </row>
    <row r="88" spans="3:5" x14ac:dyDescent="0.35">
      <c r="C88" s="76"/>
      <c r="D88" s="19"/>
      <c r="E88" s="19"/>
    </row>
    <row r="89" spans="3:5" x14ac:dyDescent="0.35">
      <c r="C89" s="76"/>
      <c r="D89" s="19"/>
      <c r="E89" s="19"/>
    </row>
    <row r="90" spans="3:5" x14ac:dyDescent="0.35">
      <c r="C90" s="76"/>
      <c r="D90" s="19"/>
      <c r="E90" s="19"/>
    </row>
    <row r="91" spans="3:5" x14ac:dyDescent="0.35">
      <c r="C91" s="76"/>
      <c r="D91" s="19"/>
      <c r="E91" s="19"/>
    </row>
    <row r="92" spans="3:5" x14ac:dyDescent="0.35">
      <c r="C92" s="76"/>
      <c r="D92" s="19"/>
      <c r="E92" s="19"/>
    </row>
    <row r="93" spans="3:5" x14ac:dyDescent="0.35">
      <c r="C93" s="76"/>
      <c r="D93" s="19"/>
      <c r="E93" s="19"/>
    </row>
    <row r="94" spans="3:5" x14ac:dyDescent="0.35">
      <c r="C94" s="76"/>
      <c r="D94" s="19"/>
      <c r="E94" s="19"/>
    </row>
    <row r="95" spans="3:5" x14ac:dyDescent="0.35">
      <c r="C95" s="76"/>
      <c r="D95" s="19"/>
      <c r="E95" s="19"/>
    </row>
    <row r="96" spans="3:5" x14ac:dyDescent="0.35">
      <c r="C96" s="76"/>
      <c r="D96" s="19"/>
      <c r="E96" s="19"/>
    </row>
    <row r="97" spans="3:5" x14ac:dyDescent="0.35">
      <c r="C97" s="76"/>
      <c r="D97" s="19"/>
      <c r="E97" s="19"/>
    </row>
    <row r="98" spans="3:5" x14ac:dyDescent="0.35">
      <c r="C98" s="76"/>
      <c r="D98" s="19"/>
      <c r="E98" s="19"/>
    </row>
    <row r="99" spans="3:5" x14ac:dyDescent="0.35">
      <c r="C99" s="76"/>
      <c r="D99" s="19"/>
      <c r="E99" s="19"/>
    </row>
    <row r="100" spans="3:5" x14ac:dyDescent="0.35">
      <c r="C100" s="76"/>
      <c r="D100" s="19"/>
      <c r="E100" s="19"/>
    </row>
    <row r="101" spans="3:5" x14ac:dyDescent="0.35">
      <c r="C101" s="76"/>
      <c r="D101" s="19"/>
      <c r="E101" s="19"/>
    </row>
    <row r="102" spans="3:5" x14ac:dyDescent="0.35">
      <c r="C102" s="76"/>
      <c r="D102" s="19"/>
      <c r="E102" s="19"/>
    </row>
    <row r="103" spans="3:5" x14ac:dyDescent="0.35">
      <c r="C103" s="76"/>
      <c r="D103" s="19"/>
      <c r="E103" s="19"/>
    </row>
    <row r="104" spans="3:5" x14ac:dyDescent="0.35">
      <c r="C104" s="76"/>
      <c r="D104" s="19"/>
      <c r="E104" s="19"/>
    </row>
    <row r="105" spans="3:5" x14ac:dyDescent="0.35">
      <c r="C105" s="76"/>
      <c r="D105" s="19"/>
      <c r="E105" s="19"/>
    </row>
    <row r="106" spans="3:5" x14ac:dyDescent="0.35">
      <c r="C106" s="76"/>
      <c r="D106" s="19"/>
      <c r="E106" s="19"/>
    </row>
    <row r="107" spans="3:5" x14ac:dyDescent="0.35">
      <c r="C107" s="76"/>
      <c r="D107" s="19"/>
      <c r="E107" s="19"/>
    </row>
    <row r="108" spans="3:5" x14ac:dyDescent="0.35">
      <c r="C108" s="76"/>
      <c r="D108" s="19"/>
      <c r="E108" s="19"/>
    </row>
    <row r="109" spans="3:5" x14ac:dyDescent="0.35">
      <c r="C109" s="76"/>
      <c r="D109" s="19"/>
      <c r="E109" s="19"/>
    </row>
    <row r="110" spans="3:5" x14ac:dyDescent="0.35">
      <c r="C110" s="76"/>
      <c r="D110" s="19"/>
      <c r="E110" s="19"/>
    </row>
    <row r="111" spans="3:5" x14ac:dyDescent="0.35">
      <c r="C111" s="76"/>
      <c r="D111" s="19"/>
      <c r="E111" s="19"/>
    </row>
    <row r="112" spans="3:5" x14ac:dyDescent="0.35">
      <c r="C112" s="76"/>
      <c r="D112" s="19"/>
      <c r="E112" s="19"/>
    </row>
    <row r="113" spans="3:5" x14ac:dyDescent="0.35">
      <c r="C113" s="76"/>
      <c r="D113" s="19"/>
      <c r="E113" s="19"/>
    </row>
    <row r="114" spans="3:5" x14ac:dyDescent="0.35">
      <c r="C114" s="76"/>
      <c r="D114" s="19"/>
      <c r="E114" s="19"/>
    </row>
    <row r="115" spans="3:5" x14ac:dyDescent="0.35">
      <c r="C115" s="76"/>
      <c r="D115" s="19"/>
      <c r="E115" s="19"/>
    </row>
    <row r="116" spans="3:5" x14ac:dyDescent="0.35">
      <c r="C116" s="76"/>
      <c r="D116" s="19"/>
      <c r="E116" s="19"/>
    </row>
    <row r="117" spans="3:5" x14ac:dyDescent="0.35">
      <c r="C117" s="76"/>
      <c r="D117" s="19"/>
      <c r="E117" s="19"/>
    </row>
    <row r="118" spans="3:5" x14ac:dyDescent="0.35">
      <c r="C118" s="76"/>
      <c r="D118" s="19"/>
      <c r="E118" s="19"/>
    </row>
    <row r="119" spans="3:5" x14ac:dyDescent="0.35">
      <c r="C119" s="76"/>
      <c r="D119" s="19"/>
      <c r="E119" s="19"/>
    </row>
    <row r="120" spans="3:5" x14ac:dyDescent="0.35">
      <c r="C120" s="76"/>
      <c r="D120" s="19"/>
      <c r="E120" s="19"/>
    </row>
    <row r="121" spans="3:5" x14ac:dyDescent="0.35">
      <c r="C121" s="76"/>
      <c r="D121" s="19"/>
      <c r="E121" s="19"/>
    </row>
    <row r="122" spans="3:5" x14ac:dyDescent="0.35">
      <c r="C122" s="76"/>
      <c r="D122" s="19"/>
      <c r="E122" s="19"/>
    </row>
    <row r="123" spans="3:5" x14ac:dyDescent="0.35">
      <c r="C123" s="76"/>
      <c r="D123" s="19"/>
      <c r="E123" s="19"/>
    </row>
    <row r="124" spans="3:5" x14ac:dyDescent="0.35">
      <c r="C124" s="76"/>
      <c r="D124" s="19"/>
      <c r="E124" s="19"/>
    </row>
    <row r="125" spans="3:5" x14ac:dyDescent="0.35">
      <c r="C125" s="76"/>
      <c r="D125" s="19"/>
      <c r="E125" s="19"/>
    </row>
    <row r="126" spans="3:5" x14ac:dyDescent="0.35">
      <c r="C126" s="76"/>
      <c r="D126" s="19"/>
      <c r="E126" s="19"/>
    </row>
    <row r="127" spans="3:5" x14ac:dyDescent="0.35">
      <c r="C127" s="76"/>
      <c r="D127" s="19"/>
      <c r="E127" s="19"/>
    </row>
    <row r="128" spans="3:5" x14ac:dyDescent="0.35">
      <c r="C128" s="76"/>
      <c r="D128" s="19"/>
      <c r="E128" s="19"/>
    </row>
    <row r="129" spans="3:5" x14ac:dyDescent="0.35">
      <c r="C129" s="76"/>
      <c r="D129" s="19"/>
      <c r="E129" s="19"/>
    </row>
    <row r="130" spans="3:5" x14ac:dyDescent="0.35">
      <c r="C130" s="76"/>
      <c r="D130" s="19"/>
      <c r="E130" s="19"/>
    </row>
    <row r="131" spans="3:5" x14ac:dyDescent="0.35">
      <c r="C131" s="76"/>
      <c r="D131" s="19"/>
      <c r="E131" s="19"/>
    </row>
    <row r="132" spans="3:5" x14ac:dyDescent="0.35">
      <c r="C132" s="76"/>
      <c r="D132" s="19"/>
      <c r="E132" s="19"/>
    </row>
    <row r="133" spans="3:5" x14ac:dyDescent="0.35">
      <c r="C133" s="76"/>
      <c r="D133" s="19"/>
      <c r="E133" s="19"/>
    </row>
    <row r="134" spans="3:5" x14ac:dyDescent="0.35">
      <c r="C134" s="76"/>
      <c r="D134" s="19"/>
      <c r="E134" s="19"/>
    </row>
    <row r="135" spans="3:5" x14ac:dyDescent="0.35">
      <c r="C135" s="76"/>
      <c r="D135" s="19"/>
      <c r="E135" s="19"/>
    </row>
    <row r="136" spans="3:5" x14ac:dyDescent="0.35">
      <c r="C136" s="76"/>
      <c r="D136" s="19"/>
      <c r="E136" s="19"/>
    </row>
    <row r="137" spans="3:5" x14ac:dyDescent="0.35">
      <c r="C137" s="76"/>
      <c r="D137" s="19"/>
      <c r="E137" s="19"/>
    </row>
    <row r="138" spans="3:5" x14ac:dyDescent="0.35">
      <c r="C138" s="76"/>
      <c r="D138" s="19"/>
      <c r="E138" s="19"/>
    </row>
    <row r="139" spans="3:5" x14ac:dyDescent="0.35">
      <c r="C139" s="76"/>
      <c r="D139" s="19"/>
      <c r="E139" s="19"/>
    </row>
    <row r="140" spans="3:5" x14ac:dyDescent="0.35">
      <c r="C140" s="76"/>
      <c r="D140" s="19"/>
      <c r="E140" s="19"/>
    </row>
    <row r="141" spans="3:5" x14ac:dyDescent="0.35">
      <c r="C141" s="76"/>
      <c r="D141" s="19"/>
      <c r="E141" s="19"/>
    </row>
    <row r="142" spans="3:5" x14ac:dyDescent="0.35">
      <c r="C142" s="76"/>
      <c r="D142" s="19"/>
      <c r="E142" s="19"/>
    </row>
    <row r="143" spans="3:5" x14ac:dyDescent="0.35">
      <c r="C143" s="76"/>
      <c r="D143" s="19"/>
      <c r="E143" s="19"/>
    </row>
    <row r="144" spans="3:5" x14ac:dyDescent="0.35">
      <c r="C144" s="76"/>
      <c r="D144" s="19"/>
      <c r="E144" s="19"/>
    </row>
    <row r="145" spans="3:5" x14ac:dyDescent="0.35">
      <c r="C145" s="76"/>
      <c r="D145" s="19"/>
      <c r="E145" s="19"/>
    </row>
    <row r="146" spans="3:5" x14ac:dyDescent="0.35">
      <c r="C146" s="76"/>
      <c r="D146" s="19"/>
      <c r="E146" s="19"/>
    </row>
    <row r="147" spans="3:5" x14ac:dyDescent="0.35">
      <c r="C147" s="76"/>
      <c r="D147" s="19"/>
      <c r="E147" s="19"/>
    </row>
    <row r="148" spans="3:5" x14ac:dyDescent="0.35">
      <c r="C148" s="76"/>
      <c r="D148" s="19"/>
      <c r="E148" s="19"/>
    </row>
    <row r="149" spans="3:5" x14ac:dyDescent="0.35">
      <c r="C149" s="76"/>
      <c r="D149" s="19"/>
      <c r="E149" s="19"/>
    </row>
    <row r="150" spans="3:5" x14ac:dyDescent="0.35">
      <c r="C150" s="76"/>
      <c r="D150" s="19"/>
      <c r="E150" s="19"/>
    </row>
  </sheetData>
  <mergeCells count="2">
    <mergeCell ref="F2:H2"/>
    <mergeCell ref="A1:H1"/>
  </mergeCells>
  <conditionalFormatting sqref="C4">
    <cfRule type="cellIs" dxfId="18" priority="13" operator="between">
      <formula>750</formula>
      <formula>999</formula>
    </cfRule>
    <cfRule type="cellIs" dxfId="17" priority="14" operator="greaterThanOrEqual">
      <formula>1000</formula>
    </cfRule>
    <cfRule type="cellIs" dxfId="16" priority="15" operator="lessThan">
      <formula>750</formula>
    </cfRule>
  </conditionalFormatting>
  <conditionalFormatting sqref="C5:C34">
    <cfRule type="cellIs" dxfId="15" priority="10" operator="between">
      <formula>750</formula>
      <formula>999</formula>
    </cfRule>
    <cfRule type="cellIs" dxfId="14" priority="11" operator="greaterThanOrEqual">
      <formula>1000</formula>
    </cfRule>
    <cfRule type="cellIs" dxfId="13" priority="12" operator="lessThan">
      <formula>750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zoomScale="110" zoomScaleNormal="110" workbookViewId="0">
      <selection activeCell="U3" sqref="U3"/>
    </sheetView>
  </sheetViews>
  <sheetFormatPr defaultRowHeight="14.5" outlineLevelCol="1" x14ac:dyDescent="0.35"/>
  <cols>
    <col min="1" max="1" width="23.54296875" bestFit="1" customWidth="1"/>
    <col min="2" max="2" width="6.54296875" bestFit="1" customWidth="1"/>
    <col min="3" max="3" width="15.54296875" bestFit="1" customWidth="1"/>
    <col min="4" max="4" width="15.54296875" style="56" bestFit="1" customWidth="1"/>
    <col min="5" max="5" width="10.26953125" bestFit="1" customWidth="1"/>
    <col min="6" max="6" width="14.08984375" bestFit="1" customWidth="1"/>
    <col min="7" max="7" width="11.54296875" bestFit="1" customWidth="1"/>
    <col min="8" max="8" width="4.90625" customWidth="1"/>
    <col min="9" max="9" width="14.6328125" bestFit="1" customWidth="1"/>
    <col min="10" max="10" width="9.81640625" bestFit="1" customWidth="1"/>
    <col min="11" max="11" width="18.08984375" style="56" hidden="1" customWidth="1" outlineLevel="1"/>
    <col min="12" max="12" width="9.81640625" bestFit="1" customWidth="1" collapsed="1"/>
    <col min="13" max="13" width="9.81640625" bestFit="1" customWidth="1"/>
    <col min="14" max="14" width="9.90625" bestFit="1" customWidth="1"/>
    <col min="15" max="15" width="9.81640625" bestFit="1" customWidth="1"/>
    <col min="16" max="16" width="9.54296875" bestFit="1" customWidth="1"/>
    <col min="17" max="17" width="9.81640625" bestFit="1" customWidth="1"/>
    <col min="18" max="18" width="10.1796875" bestFit="1" customWidth="1"/>
    <col min="19" max="19" width="9.90625" bestFit="1" customWidth="1"/>
    <col min="20" max="20" width="10.453125" bestFit="1" customWidth="1"/>
    <col min="21" max="22" width="9.81640625" bestFit="1" customWidth="1"/>
    <col min="23" max="24" width="10.81640625" bestFit="1" customWidth="1"/>
    <col min="25" max="25" width="13.08984375" bestFit="1" customWidth="1"/>
  </cols>
  <sheetData>
    <row r="1" spans="1:26" x14ac:dyDescent="0.35">
      <c r="A1" t="s">
        <v>146</v>
      </c>
      <c r="B1" t="s">
        <v>137</v>
      </c>
      <c r="C1" t="s">
        <v>140</v>
      </c>
      <c r="D1" s="56" t="s">
        <v>141</v>
      </c>
      <c r="E1" t="s">
        <v>142</v>
      </c>
      <c r="F1" t="s">
        <v>143</v>
      </c>
      <c r="G1" t="s">
        <v>144</v>
      </c>
      <c r="I1" t="s">
        <v>154</v>
      </c>
      <c r="J1" t="s">
        <v>153</v>
      </c>
      <c r="K1" s="62" t="s">
        <v>176</v>
      </c>
      <c r="L1" s="56" t="s">
        <v>158</v>
      </c>
      <c r="M1" t="s">
        <v>160</v>
      </c>
      <c r="N1" s="56" t="s">
        <v>161</v>
      </c>
      <c r="O1" s="56" t="s">
        <v>162</v>
      </c>
      <c r="P1" s="56" t="s">
        <v>163</v>
      </c>
      <c r="Q1" s="56" t="s">
        <v>139</v>
      </c>
      <c r="R1" t="s">
        <v>63</v>
      </c>
      <c r="T1" s="72" t="s">
        <v>183</v>
      </c>
      <c r="U1" s="72"/>
    </row>
    <row r="2" spans="1:26" x14ac:dyDescent="0.35">
      <c r="A2" t="s">
        <v>138</v>
      </c>
      <c r="B2" s="58">
        <v>46357</v>
      </c>
      <c r="C2" s="60">
        <f>30000*12</f>
        <v>360000</v>
      </c>
      <c r="D2" s="59">
        <f>C2/130</f>
        <v>2769.2307692307691</v>
      </c>
      <c r="E2">
        <v>7</v>
      </c>
      <c r="F2" s="61">
        <f>D2/7*1.2</f>
        <v>474.72527472527463</v>
      </c>
      <c r="G2" s="61">
        <f>F2/20</f>
        <v>23.73626373626373</v>
      </c>
      <c r="I2" t="s">
        <v>155</v>
      </c>
      <c r="J2" s="59">
        <v>10000</v>
      </c>
      <c r="K2" s="59" t="s">
        <v>178</v>
      </c>
      <c r="L2" s="59">
        <f>J2+10000</f>
        <v>20000</v>
      </c>
      <c r="M2" s="59">
        <f>L2+10000</f>
        <v>30000</v>
      </c>
      <c r="N2" s="59">
        <f t="shared" ref="N2:Q2" si="0">M2+10000</f>
        <v>40000</v>
      </c>
      <c r="O2" s="59">
        <f t="shared" si="0"/>
        <v>50000</v>
      </c>
      <c r="P2" s="59">
        <f t="shared" si="0"/>
        <v>60000</v>
      </c>
      <c r="Q2" s="59">
        <f t="shared" si="0"/>
        <v>70000</v>
      </c>
      <c r="R2" s="59">
        <f>Q2</f>
        <v>70000</v>
      </c>
      <c r="T2" s="73">
        <v>46387</v>
      </c>
      <c r="U2" s="74">
        <f ca="1">T2-TODAY()</f>
        <v>210</v>
      </c>
    </row>
    <row r="3" spans="1:26" x14ac:dyDescent="0.35">
      <c r="A3" t="s">
        <v>145</v>
      </c>
      <c r="B3" s="58">
        <v>46357</v>
      </c>
      <c r="C3" s="60">
        <f>50000*12</f>
        <v>600000</v>
      </c>
      <c r="D3" s="59">
        <f>C3/130</f>
        <v>4615.3846153846152</v>
      </c>
      <c r="E3">
        <v>7</v>
      </c>
      <c r="F3" s="61">
        <f>D3/7*1.2</f>
        <v>791.20879120879113</v>
      </c>
      <c r="G3" s="61">
        <f>F3/20</f>
        <v>39.560439560439555</v>
      </c>
      <c r="I3" t="s">
        <v>156</v>
      </c>
      <c r="J3" s="61">
        <f>F2</f>
        <v>474.72527472527463</v>
      </c>
      <c r="K3" s="62" t="s">
        <v>177</v>
      </c>
      <c r="L3" s="61">
        <f>L2*J5</f>
        <v>949.45054945054926</v>
      </c>
      <c r="M3" s="61">
        <f>M2*L5</f>
        <v>1424.1758241758239</v>
      </c>
      <c r="N3" s="61">
        <f t="shared" ref="N3:P3" si="1">N2*M5</f>
        <v>1898.9010989010985</v>
      </c>
      <c r="O3" s="61">
        <f t="shared" si="1"/>
        <v>2373.6263736263732</v>
      </c>
      <c r="P3" s="61">
        <f t="shared" si="1"/>
        <v>2848.3516483516478</v>
      </c>
      <c r="Q3" s="61">
        <f>Q2*P5</f>
        <v>3323.0769230769224</v>
      </c>
      <c r="R3" s="61">
        <f>SUM(J3:Q3)*0.8</f>
        <v>10633.846153846151</v>
      </c>
      <c r="S3" s="61">
        <f>R3-D4</f>
        <v>3249.2307692307659</v>
      </c>
    </row>
    <row r="4" spans="1:26" x14ac:dyDescent="0.35">
      <c r="A4" s="62" t="s">
        <v>63</v>
      </c>
      <c r="B4" s="62"/>
      <c r="C4" s="63">
        <f>SUM(C2:C3)</f>
        <v>960000</v>
      </c>
      <c r="D4" s="65">
        <f>SUM(D2:D3)</f>
        <v>7384.6153846153848</v>
      </c>
      <c r="E4" s="62"/>
      <c r="F4" s="64">
        <f>SUM(F2:F3)</f>
        <v>1265.9340659340658</v>
      </c>
      <c r="G4" s="64">
        <f>SUM(G2:G3)</f>
        <v>63.296703296703285</v>
      </c>
      <c r="I4" t="s">
        <v>157</v>
      </c>
      <c r="J4" s="61">
        <f>J3/10</f>
        <v>47.47252747252746</v>
      </c>
      <c r="K4" s="61" t="e">
        <f t="shared" ref="K4:L4" si="2">K3/10</f>
        <v>#VALUE!</v>
      </c>
      <c r="L4" s="61">
        <f t="shared" si="2"/>
        <v>94.94505494505492</v>
      </c>
      <c r="M4" s="61">
        <f>M3/10</f>
        <v>142.41758241758239</v>
      </c>
      <c r="N4" s="61">
        <f>N3/10</f>
        <v>189.89010989010984</v>
      </c>
      <c r="O4" s="61">
        <f>O3/10</f>
        <v>237.36263736263732</v>
      </c>
      <c r="P4" s="61">
        <f>P3/10</f>
        <v>284.83516483516479</v>
      </c>
      <c r="Q4" s="61">
        <f>Q3/10</f>
        <v>332.30769230769226</v>
      </c>
      <c r="R4" s="61"/>
    </row>
    <row r="5" spans="1:26" x14ac:dyDescent="0.35">
      <c r="A5" s="68" t="s">
        <v>175</v>
      </c>
      <c r="B5" s="68"/>
      <c r="C5" s="68"/>
      <c r="D5" s="68"/>
      <c r="I5" t="s">
        <v>159</v>
      </c>
      <c r="J5" s="49">
        <f>J3/J2</f>
        <v>4.7472527472527462E-2</v>
      </c>
      <c r="K5" s="62" t="s">
        <v>180</v>
      </c>
      <c r="L5" s="49">
        <f>L3/L2</f>
        <v>4.7472527472527462E-2</v>
      </c>
      <c r="M5" s="49">
        <f>M3/M2</f>
        <v>4.7472527472527462E-2</v>
      </c>
      <c r="N5" s="49">
        <f t="shared" ref="N5:Q5" si="3">N3/N2</f>
        <v>4.7472527472527462E-2</v>
      </c>
      <c r="O5" s="49">
        <f t="shared" si="3"/>
        <v>4.7472527472527462E-2</v>
      </c>
      <c r="P5" s="49">
        <f t="shared" si="3"/>
        <v>4.7472527472527462E-2</v>
      </c>
      <c r="Q5" s="49">
        <f t="shared" si="3"/>
        <v>4.7472527472527462E-2</v>
      </c>
      <c r="R5" s="61"/>
    </row>
    <row r="6" spans="1:26" s="56" customFormat="1" x14ac:dyDescent="0.35">
      <c r="A6" s="68" t="s">
        <v>171</v>
      </c>
      <c r="B6" s="68" t="s">
        <v>172</v>
      </c>
      <c r="C6" s="68"/>
      <c r="D6" s="68"/>
      <c r="I6" s="56" t="s">
        <v>169</v>
      </c>
      <c r="J6" s="66">
        <f>J4/J2</f>
        <v>4.7472527472527462E-3</v>
      </c>
      <c r="K6" s="59" t="s">
        <v>179</v>
      </c>
      <c r="L6" s="66">
        <f>L4/L2</f>
        <v>4.7472527472527462E-3</v>
      </c>
      <c r="M6" s="66">
        <f t="shared" ref="M6:Q6" si="4">M4/M2</f>
        <v>4.7472527472527462E-3</v>
      </c>
      <c r="N6" s="66">
        <f>N4/N2</f>
        <v>4.7472527472527462E-3</v>
      </c>
      <c r="O6" s="66">
        <f t="shared" si="4"/>
        <v>4.7472527472527462E-3</v>
      </c>
      <c r="P6" s="66">
        <f t="shared" si="4"/>
        <v>4.7472527472527462E-3</v>
      </c>
      <c r="Q6" s="66">
        <f t="shared" si="4"/>
        <v>4.7472527472527462E-3</v>
      </c>
    </row>
    <row r="7" spans="1:26" s="56" customFormat="1" x14ac:dyDescent="0.35">
      <c r="A7" s="68" t="s">
        <v>173</v>
      </c>
      <c r="B7" s="68" t="s">
        <v>174</v>
      </c>
      <c r="C7" s="68"/>
      <c r="D7" s="68"/>
      <c r="I7" s="56" t="s">
        <v>170</v>
      </c>
      <c r="J7" s="66">
        <v>5.0000000000000001E-3</v>
      </c>
      <c r="K7" s="62" t="s">
        <v>181</v>
      </c>
      <c r="L7" s="66">
        <v>5.0000000000000001E-3</v>
      </c>
      <c r="M7" s="66">
        <v>5.0000000000000001E-3</v>
      </c>
      <c r="N7" s="66">
        <v>5.0000000000000001E-3</v>
      </c>
      <c r="O7" s="66">
        <v>5.0000000000000001E-3</v>
      </c>
      <c r="P7" s="66">
        <v>5.0000000000000001E-3</v>
      </c>
      <c r="Q7" s="66">
        <v>5.0000000000000001E-3</v>
      </c>
    </row>
    <row r="8" spans="1:26" s="56" customFormat="1" x14ac:dyDescent="0.35">
      <c r="J8" s="67"/>
      <c r="K8" s="59" t="s">
        <v>179</v>
      </c>
      <c r="L8" s="67"/>
      <c r="M8" s="66"/>
      <c r="N8" s="66"/>
      <c r="O8" s="66"/>
      <c r="P8" s="66"/>
      <c r="Q8" s="66"/>
    </row>
    <row r="9" spans="1:26" x14ac:dyDescent="0.35">
      <c r="A9" s="56" t="s">
        <v>147</v>
      </c>
      <c r="B9" s="56" t="s">
        <v>137</v>
      </c>
      <c r="C9" s="56" t="s">
        <v>140</v>
      </c>
      <c r="D9" s="56" t="s">
        <v>141</v>
      </c>
      <c r="E9" s="56" t="s">
        <v>142</v>
      </c>
      <c r="F9" s="56" t="s">
        <v>143</v>
      </c>
      <c r="G9" s="56" t="s">
        <v>144</v>
      </c>
      <c r="I9" s="56" t="s">
        <v>154</v>
      </c>
      <c r="J9" s="56" t="s">
        <v>164</v>
      </c>
      <c r="L9" s="56" t="s">
        <v>165</v>
      </c>
      <c r="M9" s="56" t="s">
        <v>166</v>
      </c>
      <c r="N9" s="56" t="s">
        <v>167</v>
      </c>
      <c r="O9" s="56" t="s">
        <v>168</v>
      </c>
      <c r="P9" s="56" t="s">
        <v>153</v>
      </c>
      <c r="Q9" s="56" t="s">
        <v>158</v>
      </c>
      <c r="R9" s="56" t="s">
        <v>160</v>
      </c>
      <c r="S9" s="56" t="s">
        <v>161</v>
      </c>
      <c r="T9" s="56" t="s">
        <v>162</v>
      </c>
      <c r="U9" s="56" t="s">
        <v>163</v>
      </c>
      <c r="V9" s="56" t="s">
        <v>139</v>
      </c>
      <c r="Y9" s="57" t="s">
        <v>183</v>
      </c>
      <c r="Z9" s="57"/>
    </row>
    <row r="10" spans="1:26" x14ac:dyDescent="0.35">
      <c r="A10" s="56" t="s">
        <v>182</v>
      </c>
      <c r="B10" s="58">
        <v>46722</v>
      </c>
      <c r="C10" s="60">
        <f>40000*12</f>
        <v>480000</v>
      </c>
      <c r="D10" s="59">
        <f>C10/130</f>
        <v>3692.3076923076924</v>
      </c>
      <c r="E10" s="56">
        <v>12</v>
      </c>
      <c r="F10" s="61">
        <f>D10/E10*1.2</f>
        <v>369.23076923076923</v>
      </c>
      <c r="G10" s="61">
        <f>F10/20</f>
        <v>18.46153846153846</v>
      </c>
      <c r="I10" s="56" t="s">
        <v>155</v>
      </c>
      <c r="J10" s="59">
        <f>Q2+10000</f>
        <v>80000</v>
      </c>
      <c r="K10" s="59"/>
      <c r="L10" s="59">
        <f>J10+10000</f>
        <v>90000</v>
      </c>
      <c r="M10" s="59">
        <f>L10+10000</f>
        <v>100000</v>
      </c>
      <c r="N10" s="59">
        <f t="shared" ref="N10:Q10" si="5">M10+10000</f>
        <v>110000</v>
      </c>
      <c r="O10" s="59">
        <f t="shared" si="5"/>
        <v>120000</v>
      </c>
      <c r="P10" s="59">
        <f t="shared" si="5"/>
        <v>130000</v>
      </c>
      <c r="Q10" s="59">
        <f t="shared" si="5"/>
        <v>140000</v>
      </c>
      <c r="R10" s="59">
        <f t="shared" ref="R10:V10" si="6">Q10+10000</f>
        <v>150000</v>
      </c>
      <c r="S10" s="59">
        <f t="shared" si="6"/>
        <v>160000</v>
      </c>
      <c r="T10" s="59">
        <f t="shared" si="6"/>
        <v>170000</v>
      </c>
      <c r="U10" s="59">
        <f t="shared" si="6"/>
        <v>180000</v>
      </c>
      <c r="V10" s="59">
        <f t="shared" si="6"/>
        <v>190000</v>
      </c>
      <c r="W10" s="59">
        <f>V10</f>
        <v>190000</v>
      </c>
      <c r="Y10" s="1">
        <v>46752</v>
      </c>
      <c r="Z10" s="71">
        <f ca="1">Y10-TODAY()</f>
        <v>575</v>
      </c>
    </row>
    <row r="11" spans="1:26" x14ac:dyDescent="0.35">
      <c r="A11" s="56" t="s">
        <v>145</v>
      </c>
      <c r="B11" s="58">
        <f>B10</f>
        <v>46722</v>
      </c>
      <c r="C11" s="60">
        <f>60000*12</f>
        <v>720000</v>
      </c>
      <c r="D11" s="59">
        <f>C11/130</f>
        <v>5538.4615384615381</v>
      </c>
      <c r="E11" s="56">
        <v>12</v>
      </c>
      <c r="F11" s="61">
        <f>D11/E11*1.2</f>
        <v>553.84615384615381</v>
      </c>
      <c r="G11" s="61">
        <f>F11/20</f>
        <v>27.69230769230769</v>
      </c>
      <c r="I11" s="56" t="s">
        <v>156</v>
      </c>
      <c r="J11" s="61">
        <f>J10*J13</f>
        <v>3797.802197802197</v>
      </c>
      <c r="K11" s="61"/>
      <c r="L11" s="61">
        <f t="shared" ref="L11:Q11" si="7">L10*L13</f>
        <v>4272.5274725274712</v>
      </c>
      <c r="M11" s="61">
        <f t="shared" si="7"/>
        <v>4747.2527472527463</v>
      </c>
      <c r="N11" s="61">
        <f t="shared" si="7"/>
        <v>5221.9780219780205</v>
      </c>
      <c r="O11" s="61">
        <f t="shared" si="7"/>
        <v>5696.7032967032956</v>
      </c>
      <c r="P11" s="61">
        <f t="shared" si="7"/>
        <v>6171.4285714285697</v>
      </c>
      <c r="Q11" s="61">
        <f t="shared" si="7"/>
        <v>6646.1538461538448</v>
      </c>
      <c r="R11" s="61">
        <f t="shared" ref="R11" si="8">R10*R13</f>
        <v>7120.879120879119</v>
      </c>
      <c r="S11" s="61">
        <f t="shared" ref="S11" si="9">S10*S13</f>
        <v>7595.6043956043941</v>
      </c>
      <c r="T11" s="61">
        <f t="shared" ref="T11" si="10">T10*T13</f>
        <v>8070.3296703296683</v>
      </c>
      <c r="U11" s="61">
        <f t="shared" ref="U11" si="11">U10*U13</f>
        <v>8545.0549450549424</v>
      </c>
      <c r="V11" s="61">
        <f>V10*V13</f>
        <v>9019.7802197802175</v>
      </c>
      <c r="W11" s="61">
        <f>SUM(J11:V11)*0.8</f>
        <v>61524.395604395591</v>
      </c>
      <c r="X11" s="61">
        <f>W11-D13</f>
        <v>32678.241758241744</v>
      </c>
    </row>
    <row r="12" spans="1:26" x14ac:dyDescent="0.35">
      <c r="A12" t="s">
        <v>149</v>
      </c>
      <c r="B12" s="58">
        <f>B11</f>
        <v>46722</v>
      </c>
      <c r="C12" s="60">
        <v>2550000</v>
      </c>
      <c r="D12" s="59">
        <f>C12/130</f>
        <v>19615.384615384617</v>
      </c>
      <c r="E12">
        <v>12</v>
      </c>
      <c r="F12" s="61">
        <f>D12/E12*1.2</f>
        <v>1961.5384615384617</v>
      </c>
      <c r="G12" s="61">
        <f>F12/20</f>
        <v>98.07692307692308</v>
      </c>
      <c r="I12" s="56" t="s">
        <v>157</v>
      </c>
      <c r="J12" s="61">
        <f>J11/20</f>
        <v>189.89010989010984</v>
      </c>
      <c r="K12" s="61"/>
      <c r="L12" s="61">
        <f t="shared" ref="L12:Q12" si="12">L11/20</f>
        <v>213.62637362637355</v>
      </c>
      <c r="M12" s="61">
        <f t="shared" si="12"/>
        <v>237.36263736263732</v>
      </c>
      <c r="N12" s="61">
        <f t="shared" si="12"/>
        <v>261.09890109890102</v>
      </c>
      <c r="O12" s="61">
        <f t="shared" si="12"/>
        <v>284.83516483516479</v>
      </c>
      <c r="P12" s="61">
        <f t="shared" si="12"/>
        <v>308.5714285714285</v>
      </c>
      <c r="Q12" s="61">
        <f t="shared" si="12"/>
        <v>332.30769230769226</v>
      </c>
      <c r="R12" s="61">
        <f t="shared" ref="R12:U12" si="13">R11/20</f>
        <v>356.04395604395597</v>
      </c>
      <c r="S12" s="61">
        <f t="shared" si="13"/>
        <v>379.78021978021968</v>
      </c>
      <c r="T12" s="61">
        <f t="shared" si="13"/>
        <v>403.51648351648339</v>
      </c>
      <c r="U12" s="61">
        <f t="shared" si="13"/>
        <v>427.2527472527471</v>
      </c>
      <c r="V12" s="61">
        <f>V11/20</f>
        <v>450.98901098901086</v>
      </c>
    </row>
    <row r="13" spans="1:26" x14ac:dyDescent="0.35">
      <c r="A13" s="62" t="s">
        <v>63</v>
      </c>
      <c r="B13" s="62"/>
      <c r="C13" s="63">
        <f>SUM(C10:C12)</f>
        <v>3750000</v>
      </c>
      <c r="D13" s="65">
        <f>SUM(D10:D12)</f>
        <v>28846.153846153848</v>
      </c>
      <c r="E13" s="62"/>
      <c r="F13" s="64">
        <f>SUM(F10:F12)</f>
        <v>2884.6153846153848</v>
      </c>
      <c r="G13" s="64">
        <f>SUM(G10:G12)</f>
        <v>144.23076923076923</v>
      </c>
      <c r="I13" s="56" t="s">
        <v>159</v>
      </c>
      <c r="J13" s="49">
        <f>J5</f>
        <v>4.7472527472527462E-2</v>
      </c>
      <c r="K13" s="49"/>
      <c r="L13" s="49">
        <f>J13</f>
        <v>4.7472527472527462E-2</v>
      </c>
      <c r="M13" s="49">
        <f>L13</f>
        <v>4.7472527472527462E-2</v>
      </c>
      <c r="N13" s="49">
        <f>M13</f>
        <v>4.7472527472527462E-2</v>
      </c>
      <c r="O13" s="49">
        <f t="shared" ref="O13:V13" si="14">N13</f>
        <v>4.7472527472527462E-2</v>
      </c>
      <c r="P13" s="49">
        <f t="shared" si="14"/>
        <v>4.7472527472527462E-2</v>
      </c>
      <c r="Q13" s="49">
        <f t="shared" si="14"/>
        <v>4.7472527472527462E-2</v>
      </c>
      <c r="R13" s="49">
        <f t="shared" si="14"/>
        <v>4.7472527472527462E-2</v>
      </c>
      <c r="S13" s="49">
        <f t="shared" si="14"/>
        <v>4.7472527472527462E-2</v>
      </c>
      <c r="T13" s="49">
        <f>S13</f>
        <v>4.7472527472527462E-2</v>
      </c>
      <c r="U13" s="49">
        <f t="shared" si="14"/>
        <v>4.7472527472527462E-2</v>
      </c>
      <c r="V13" s="49">
        <f t="shared" si="14"/>
        <v>4.7472527472527462E-2</v>
      </c>
    </row>
    <row r="14" spans="1:26" s="56" customFormat="1" x14ac:dyDescent="0.35">
      <c r="I14" s="56" t="s">
        <v>169</v>
      </c>
      <c r="J14" s="66">
        <f>J12/J10</f>
        <v>2.3736263736263731E-3</v>
      </c>
      <c r="K14" s="66"/>
      <c r="L14" s="66">
        <f t="shared" ref="L14:Q14" si="15">L12/L10</f>
        <v>2.3736263736263727E-3</v>
      </c>
      <c r="M14" s="66">
        <f t="shared" si="15"/>
        <v>2.3736263736263731E-3</v>
      </c>
      <c r="N14" s="66">
        <f t="shared" si="15"/>
        <v>2.3736263736263731E-3</v>
      </c>
      <c r="O14" s="66">
        <f t="shared" si="15"/>
        <v>2.3736263736263731E-3</v>
      </c>
      <c r="P14" s="66">
        <f t="shared" si="15"/>
        <v>2.3736263736263731E-3</v>
      </c>
      <c r="Q14" s="66">
        <f t="shared" si="15"/>
        <v>2.3736263736263731E-3</v>
      </c>
      <c r="R14" s="66">
        <f t="shared" ref="R14:V14" si="16">R12/R10</f>
        <v>2.3736263736263731E-3</v>
      </c>
      <c r="S14" s="66">
        <f t="shared" si="16"/>
        <v>2.3736263736263731E-3</v>
      </c>
      <c r="T14" s="66">
        <f t="shared" si="16"/>
        <v>2.3736263736263727E-3</v>
      </c>
      <c r="U14" s="66">
        <f t="shared" si="16"/>
        <v>2.3736263736263727E-3</v>
      </c>
      <c r="V14" s="66">
        <f t="shared" si="16"/>
        <v>2.3736263736263731E-3</v>
      </c>
    </row>
    <row r="15" spans="1:26" s="56" customFormat="1" x14ac:dyDescent="0.35">
      <c r="I15" s="56" t="s">
        <v>170</v>
      </c>
      <c r="J15" s="66">
        <v>5.0000000000000001E-3</v>
      </c>
      <c r="K15" s="66"/>
      <c r="L15" s="66">
        <v>5.0000000000000001E-3</v>
      </c>
      <c r="M15" s="66">
        <v>5.0000000000000001E-3</v>
      </c>
      <c r="N15" s="66">
        <v>5.0000000000000001E-3</v>
      </c>
      <c r="O15" s="66">
        <v>5.0000000000000001E-3</v>
      </c>
      <c r="P15" s="66">
        <v>5.0000000000000001E-3</v>
      </c>
      <c r="Q15" s="66">
        <v>5.0000000000000001E-3</v>
      </c>
      <c r="R15" s="66">
        <v>5.0000000000000001E-3</v>
      </c>
      <c r="S15" s="66">
        <v>5.0000000000000001E-3</v>
      </c>
      <c r="T15" s="66">
        <v>5.0000000000000001E-3</v>
      </c>
      <c r="U15" s="66">
        <v>5.0000000000000001E-3</v>
      </c>
      <c r="V15" s="66">
        <v>5.0000000000000001E-3</v>
      </c>
    </row>
    <row r="17" spans="1:26" s="56" customFormat="1" x14ac:dyDescent="0.35">
      <c r="A17" s="56" t="s">
        <v>150</v>
      </c>
      <c r="B17" s="56" t="s">
        <v>137</v>
      </c>
      <c r="C17" s="56" t="s">
        <v>140</v>
      </c>
      <c r="D17" s="56" t="s">
        <v>141</v>
      </c>
      <c r="E17" s="56" t="s">
        <v>142</v>
      </c>
      <c r="F17" s="56" t="s">
        <v>143</v>
      </c>
      <c r="G17" s="56" t="s">
        <v>144</v>
      </c>
      <c r="I17" s="56" t="s">
        <v>154</v>
      </c>
      <c r="J17" s="56" t="s">
        <v>164</v>
      </c>
      <c r="L17" s="56" t="s">
        <v>165</v>
      </c>
      <c r="M17" s="56" t="s">
        <v>166</v>
      </c>
      <c r="N17" s="56" t="s">
        <v>167</v>
      </c>
      <c r="O17" s="56" t="s">
        <v>168</v>
      </c>
      <c r="P17" s="56" t="s">
        <v>153</v>
      </c>
      <c r="Q17" s="56" t="s">
        <v>158</v>
      </c>
      <c r="R17" s="56" t="s">
        <v>160</v>
      </c>
      <c r="S17" s="56" t="s">
        <v>161</v>
      </c>
      <c r="T17" s="56" t="s">
        <v>162</v>
      </c>
      <c r="U17" s="56" t="s">
        <v>163</v>
      </c>
      <c r="V17" s="56" t="s">
        <v>139</v>
      </c>
      <c r="Y17" s="57" t="s">
        <v>183</v>
      </c>
      <c r="Z17" s="57"/>
    </row>
    <row r="18" spans="1:26" s="56" customFormat="1" x14ac:dyDescent="0.35">
      <c r="A18" s="56" t="str">
        <f>A10</f>
        <v>Move to a 3 bedrom house</v>
      </c>
      <c r="B18" s="58">
        <v>47088</v>
      </c>
      <c r="C18" s="60">
        <f>40000*12</f>
        <v>480000</v>
      </c>
      <c r="D18" s="59">
        <f>C18/130</f>
        <v>3692.3076923076924</v>
      </c>
      <c r="E18" s="56">
        <v>12</v>
      </c>
      <c r="F18" s="61">
        <f>D18/E18*1.2</f>
        <v>369.23076923076923</v>
      </c>
      <c r="G18" s="61">
        <f>F18/20</f>
        <v>18.46153846153846</v>
      </c>
      <c r="I18" s="56" t="s">
        <v>155</v>
      </c>
      <c r="J18" s="59">
        <f>V10+10000</f>
        <v>200000</v>
      </c>
      <c r="K18" s="59"/>
      <c r="L18" s="59">
        <f>J18+10000</f>
        <v>210000</v>
      </c>
      <c r="M18" s="59">
        <f>L18+10000</f>
        <v>220000</v>
      </c>
      <c r="N18" s="59">
        <f t="shared" ref="N18:V18" si="17">M18+10000</f>
        <v>230000</v>
      </c>
      <c r="O18" s="59">
        <f t="shared" si="17"/>
        <v>240000</v>
      </c>
      <c r="P18" s="59">
        <f t="shared" si="17"/>
        <v>250000</v>
      </c>
      <c r="Q18" s="59">
        <f t="shared" si="17"/>
        <v>260000</v>
      </c>
      <c r="R18" s="59">
        <f t="shared" si="17"/>
        <v>270000</v>
      </c>
      <c r="S18" s="59">
        <f t="shared" si="17"/>
        <v>280000</v>
      </c>
      <c r="T18" s="59">
        <f t="shared" si="17"/>
        <v>290000</v>
      </c>
      <c r="U18" s="59">
        <f t="shared" si="17"/>
        <v>300000</v>
      </c>
      <c r="V18" s="59">
        <f t="shared" si="17"/>
        <v>310000</v>
      </c>
      <c r="W18" s="59">
        <f>V18</f>
        <v>310000</v>
      </c>
      <c r="Y18" s="1">
        <v>47118</v>
      </c>
      <c r="Z18" s="71">
        <f ca="1">Y18-TODAY()</f>
        <v>941</v>
      </c>
    </row>
    <row r="19" spans="1:26" s="56" customFormat="1" x14ac:dyDescent="0.35">
      <c r="A19" s="56" t="s">
        <v>145</v>
      </c>
      <c r="B19" s="58">
        <f>B18</f>
        <v>47088</v>
      </c>
      <c r="C19" s="60">
        <f>100000*12</f>
        <v>1200000</v>
      </c>
      <c r="D19" s="59">
        <f>C19/130</f>
        <v>9230.7692307692305</v>
      </c>
      <c r="E19" s="56">
        <v>12</v>
      </c>
      <c r="F19" s="61">
        <f>D19/E19*1.2</f>
        <v>923.07692307692298</v>
      </c>
      <c r="G19" s="61">
        <f>F19/20</f>
        <v>46.153846153846146</v>
      </c>
      <c r="I19" s="56" t="s">
        <v>156</v>
      </c>
      <c r="J19" s="61">
        <f>J18*J21</f>
        <v>9494.5054945054926</v>
      </c>
      <c r="K19" s="61"/>
      <c r="L19" s="61">
        <f t="shared" ref="L19" si="18">L18*L21</f>
        <v>9969.2307692307677</v>
      </c>
      <c r="M19" s="61">
        <f t="shared" ref="M19" si="19">M18*M21</f>
        <v>10443.956043956041</v>
      </c>
      <c r="N19" s="61">
        <f t="shared" ref="N19" si="20">N18*N21</f>
        <v>10918.681318681316</v>
      </c>
      <c r="O19" s="61">
        <f t="shared" ref="O19" si="21">O18*O21</f>
        <v>11393.406593406591</v>
      </c>
      <c r="P19" s="61">
        <f t="shared" ref="P19" si="22">P18*P21</f>
        <v>11868.131868131866</v>
      </c>
      <c r="Q19" s="61">
        <f t="shared" ref="Q19" si="23">Q18*Q21</f>
        <v>12342.857142857139</v>
      </c>
      <c r="R19" s="61">
        <f t="shared" ref="R19" si="24">R18*R21</f>
        <v>12817.582417582415</v>
      </c>
      <c r="S19" s="61">
        <f t="shared" ref="S19" si="25">S18*S21</f>
        <v>13292.30769230769</v>
      </c>
      <c r="T19" s="61">
        <f t="shared" ref="T19" si="26">T18*T21</f>
        <v>13767.032967032965</v>
      </c>
      <c r="U19" s="61">
        <f t="shared" ref="U19" si="27">U18*U21</f>
        <v>14241.758241758238</v>
      </c>
      <c r="V19" s="61">
        <f>V18*V21</f>
        <v>14716.483516483513</v>
      </c>
      <c r="W19" s="61">
        <f>SUM(J19:V19)*0.8</f>
        <v>116212.74725274724</v>
      </c>
      <c r="X19" s="61">
        <f>W19-D21</f>
        <v>80212.747252747242</v>
      </c>
    </row>
    <row r="20" spans="1:26" s="56" customFormat="1" x14ac:dyDescent="0.35">
      <c r="A20" s="56" t="s">
        <v>148</v>
      </c>
      <c r="B20" s="58">
        <f>B19</f>
        <v>47088</v>
      </c>
      <c r="C20" s="60">
        <v>3000000</v>
      </c>
      <c r="D20" s="59">
        <f>C20/130</f>
        <v>23076.923076923078</v>
      </c>
      <c r="E20" s="56">
        <v>12</v>
      </c>
      <c r="F20" s="61">
        <f>D20/E20*1.2</f>
        <v>2307.6923076923076</v>
      </c>
      <c r="G20" s="61">
        <f>F20/20</f>
        <v>115.38461538461539</v>
      </c>
      <c r="I20" s="56" t="s">
        <v>157</v>
      </c>
      <c r="J20" s="61">
        <f>J19/20</f>
        <v>474.72527472527463</v>
      </c>
      <c r="K20" s="61"/>
      <c r="L20" s="61">
        <f t="shared" ref="L20:Q20" si="28">L19/20</f>
        <v>498.4615384615384</v>
      </c>
      <c r="M20" s="61">
        <f t="shared" si="28"/>
        <v>522.19780219780205</v>
      </c>
      <c r="N20" s="61">
        <f t="shared" si="28"/>
        <v>545.93406593406576</v>
      </c>
      <c r="O20" s="61">
        <f t="shared" si="28"/>
        <v>569.67032967032958</v>
      </c>
      <c r="P20" s="61">
        <f t="shared" si="28"/>
        <v>593.40659340659329</v>
      </c>
      <c r="Q20" s="61">
        <f t="shared" si="28"/>
        <v>617.142857142857</v>
      </c>
      <c r="R20" s="61">
        <f t="shared" ref="R20" si="29">R19/20</f>
        <v>640.87912087912071</v>
      </c>
      <c r="S20" s="61">
        <f t="shared" ref="S20" si="30">S19/20</f>
        <v>664.61538461538453</v>
      </c>
      <c r="T20" s="61">
        <f t="shared" ref="T20" si="31">T19/20</f>
        <v>688.35164835164824</v>
      </c>
      <c r="U20" s="61">
        <f t="shared" ref="U20" si="32">U19/20</f>
        <v>712.08791208791195</v>
      </c>
      <c r="V20" s="61">
        <f>V19/20</f>
        <v>735.82417582417565</v>
      </c>
    </row>
    <row r="21" spans="1:26" s="56" customFormat="1" x14ac:dyDescent="0.35">
      <c r="A21" s="62" t="s">
        <v>63</v>
      </c>
      <c r="B21" s="62"/>
      <c r="C21" s="63">
        <f>SUM(C18:C20)</f>
        <v>4680000</v>
      </c>
      <c r="D21" s="65">
        <f>SUM(D18:D20)</f>
        <v>36000</v>
      </c>
      <c r="E21" s="62"/>
      <c r="F21" s="64">
        <f>SUM(F18:F20)</f>
        <v>3600</v>
      </c>
      <c r="G21" s="64">
        <f>SUM(G18:G20)</f>
        <v>180</v>
      </c>
      <c r="I21" s="56" t="s">
        <v>159</v>
      </c>
      <c r="J21" s="49">
        <f>J13</f>
        <v>4.7472527472527462E-2</v>
      </c>
      <c r="K21" s="49"/>
      <c r="L21" s="49">
        <f>J21</f>
        <v>4.7472527472527462E-2</v>
      </c>
      <c r="M21" s="49">
        <f>L21</f>
        <v>4.7472527472527462E-2</v>
      </c>
      <c r="N21" s="49">
        <f t="shared" ref="N21:V21" si="33">L21</f>
        <v>4.7472527472527462E-2</v>
      </c>
      <c r="O21" s="49">
        <f t="shared" si="33"/>
        <v>4.7472527472527462E-2</v>
      </c>
      <c r="P21" s="49">
        <f t="shared" si="33"/>
        <v>4.7472527472527462E-2</v>
      </c>
      <c r="Q21" s="49">
        <f t="shared" si="33"/>
        <v>4.7472527472527462E-2</v>
      </c>
      <c r="R21" s="49">
        <f t="shared" si="33"/>
        <v>4.7472527472527462E-2</v>
      </c>
      <c r="S21" s="49">
        <f t="shared" si="33"/>
        <v>4.7472527472527462E-2</v>
      </c>
      <c r="T21" s="49">
        <f t="shared" si="33"/>
        <v>4.7472527472527462E-2</v>
      </c>
      <c r="U21" s="49">
        <f t="shared" si="33"/>
        <v>4.7472527472527462E-2</v>
      </c>
      <c r="V21" s="49">
        <f t="shared" si="33"/>
        <v>4.7472527472527462E-2</v>
      </c>
    </row>
    <row r="22" spans="1:26" s="56" customFormat="1" x14ac:dyDescent="0.35">
      <c r="I22" s="56" t="s">
        <v>169</v>
      </c>
      <c r="J22" s="66">
        <f>J20/J18</f>
        <v>2.3736263736263731E-3</v>
      </c>
      <c r="K22" s="66"/>
      <c r="L22" s="66">
        <f t="shared" ref="L22:V22" si="34">L20/L18</f>
        <v>2.3736263736263731E-3</v>
      </c>
      <c r="M22" s="66">
        <f t="shared" si="34"/>
        <v>2.3736263736263731E-3</v>
      </c>
      <c r="N22" s="66">
        <f t="shared" si="34"/>
        <v>2.3736263736263727E-3</v>
      </c>
      <c r="O22" s="66">
        <f t="shared" si="34"/>
        <v>2.3736263736263731E-3</v>
      </c>
      <c r="P22" s="66">
        <f t="shared" si="34"/>
        <v>2.3736263736263731E-3</v>
      </c>
      <c r="Q22" s="66">
        <f t="shared" si="34"/>
        <v>2.3736263736263731E-3</v>
      </c>
      <c r="R22" s="66">
        <f t="shared" si="34"/>
        <v>2.3736263736263731E-3</v>
      </c>
      <c r="S22" s="66">
        <f t="shared" si="34"/>
        <v>2.3736263736263731E-3</v>
      </c>
      <c r="T22" s="66">
        <f t="shared" si="34"/>
        <v>2.3736263736263731E-3</v>
      </c>
      <c r="U22" s="66">
        <f t="shared" si="34"/>
        <v>2.3736263736263731E-3</v>
      </c>
      <c r="V22" s="66">
        <f t="shared" si="34"/>
        <v>2.3736263736263731E-3</v>
      </c>
    </row>
    <row r="23" spans="1:26" s="56" customFormat="1" x14ac:dyDescent="0.35">
      <c r="I23" s="56" t="s">
        <v>170</v>
      </c>
      <c r="J23" s="66">
        <v>5.0000000000000001E-3</v>
      </c>
      <c r="K23" s="66"/>
      <c r="L23" s="66">
        <v>5.0000000000000001E-3</v>
      </c>
      <c r="M23" s="66">
        <v>5.0000000000000001E-3</v>
      </c>
      <c r="N23" s="66">
        <v>5.0000000000000001E-3</v>
      </c>
      <c r="O23" s="66">
        <v>5.0000000000000001E-3</v>
      </c>
      <c r="P23" s="66">
        <v>5.0000000000000001E-3</v>
      </c>
      <c r="Q23" s="66">
        <v>5.0000000000000001E-3</v>
      </c>
      <c r="R23" s="66">
        <v>5.0000000000000001E-3</v>
      </c>
      <c r="S23" s="66">
        <v>5.0000000000000001E-3</v>
      </c>
      <c r="T23" s="66">
        <v>5.0000000000000001E-3</v>
      </c>
      <c r="U23" s="66">
        <v>5.0000000000000001E-3</v>
      </c>
      <c r="V23" s="66">
        <v>5.0000000000000001E-3</v>
      </c>
    </row>
    <row r="25" spans="1:26" x14ac:dyDescent="0.35">
      <c r="A25" s="56" t="s">
        <v>151</v>
      </c>
      <c r="B25" s="56" t="s">
        <v>137</v>
      </c>
      <c r="C25" s="56" t="s">
        <v>140</v>
      </c>
      <c r="D25" s="56" t="s">
        <v>141</v>
      </c>
      <c r="E25" s="56" t="s">
        <v>142</v>
      </c>
      <c r="F25" s="56" t="s">
        <v>143</v>
      </c>
      <c r="G25" s="56" t="s">
        <v>144</v>
      </c>
      <c r="I25" s="56" t="s">
        <v>154</v>
      </c>
      <c r="J25" s="56" t="s">
        <v>164</v>
      </c>
      <c r="L25" s="56" t="s">
        <v>165</v>
      </c>
      <c r="M25" s="56" t="s">
        <v>166</v>
      </c>
      <c r="N25" s="56" t="s">
        <v>167</v>
      </c>
      <c r="O25" s="56" t="s">
        <v>168</v>
      </c>
      <c r="P25" s="56" t="s">
        <v>153</v>
      </c>
      <c r="Q25" s="56" t="s">
        <v>158</v>
      </c>
      <c r="R25" s="56" t="s">
        <v>160</v>
      </c>
      <c r="S25" s="56" t="s">
        <v>161</v>
      </c>
      <c r="T25" s="56" t="s">
        <v>162</v>
      </c>
      <c r="U25" s="56" t="s">
        <v>163</v>
      </c>
      <c r="V25" s="56" t="s">
        <v>139</v>
      </c>
      <c r="W25" s="56"/>
      <c r="X25" s="56"/>
    </row>
    <row r="26" spans="1:26" x14ac:dyDescent="0.35">
      <c r="A26" s="56" t="s">
        <v>138</v>
      </c>
      <c r="B26" s="58">
        <v>47453</v>
      </c>
      <c r="C26" s="60">
        <f>30000*12</f>
        <v>360000</v>
      </c>
      <c r="D26" s="59">
        <f>C26/130</f>
        <v>2769.2307692307691</v>
      </c>
      <c r="E26" s="56">
        <v>12</v>
      </c>
      <c r="F26" s="61">
        <f>D26/E26*1.2</f>
        <v>276.92307692307691</v>
      </c>
      <c r="G26" s="61">
        <f>F26/20</f>
        <v>13.846153846153845</v>
      </c>
      <c r="I26" s="56" t="s">
        <v>155</v>
      </c>
      <c r="J26" s="59">
        <f>V18+10000</f>
        <v>320000</v>
      </c>
      <c r="K26" s="59"/>
      <c r="L26" s="59">
        <f>J26+10000</f>
        <v>330000</v>
      </c>
      <c r="M26" s="59">
        <f>L26+10000</f>
        <v>340000</v>
      </c>
      <c r="N26" s="59">
        <f t="shared" ref="N26:S26" si="35">M26+10000</f>
        <v>350000</v>
      </c>
      <c r="O26" s="59">
        <f t="shared" si="35"/>
        <v>360000</v>
      </c>
      <c r="P26" s="59">
        <f t="shared" si="35"/>
        <v>370000</v>
      </c>
      <c r="Q26" s="59">
        <f t="shared" si="35"/>
        <v>380000</v>
      </c>
      <c r="R26" s="59">
        <f t="shared" si="35"/>
        <v>390000</v>
      </c>
      <c r="S26" s="59">
        <f t="shared" si="35"/>
        <v>400000</v>
      </c>
      <c r="T26" s="59">
        <f>S26</f>
        <v>400000</v>
      </c>
      <c r="U26" s="59">
        <f>T26</f>
        <v>400000</v>
      </c>
      <c r="V26" s="59">
        <f>U26</f>
        <v>400000</v>
      </c>
      <c r="W26" s="59">
        <f>V26</f>
        <v>400000</v>
      </c>
      <c r="X26" s="56"/>
      <c r="Y26" s="57" t="s">
        <v>183</v>
      </c>
      <c r="Z26" s="57"/>
    </row>
    <row r="27" spans="1:26" x14ac:dyDescent="0.35">
      <c r="A27" s="56" t="s">
        <v>145</v>
      </c>
      <c r="B27" s="58">
        <f>B26</f>
        <v>47453</v>
      </c>
      <c r="C27" s="60">
        <f>100000*12</f>
        <v>1200000</v>
      </c>
      <c r="D27" s="59">
        <f>C27/130</f>
        <v>9230.7692307692305</v>
      </c>
      <c r="E27" s="56">
        <v>12</v>
      </c>
      <c r="F27" s="61">
        <f>D27/E27*1.2</f>
        <v>923.07692307692298</v>
      </c>
      <c r="G27" s="61">
        <f>F27/20</f>
        <v>46.153846153846146</v>
      </c>
      <c r="I27" s="56" t="s">
        <v>156</v>
      </c>
      <c r="J27" s="61">
        <f>J26*J29</f>
        <v>15191.208791208788</v>
      </c>
      <c r="K27" s="61"/>
      <c r="L27" s="61">
        <f t="shared" ref="L27" si="36">L26*L29</f>
        <v>15665.934065934063</v>
      </c>
      <c r="M27" s="61">
        <f t="shared" ref="M27" si="37">M26*M29</f>
        <v>16140.659340659337</v>
      </c>
      <c r="N27" s="61">
        <f t="shared" ref="N27" si="38">N26*N29</f>
        <v>16615.384615384613</v>
      </c>
      <c r="O27" s="61">
        <f t="shared" ref="O27" si="39">O26*O29</f>
        <v>17090.109890109885</v>
      </c>
      <c r="P27" s="61">
        <f t="shared" ref="P27" si="40">P26*P29</f>
        <v>17564.83516483516</v>
      </c>
      <c r="Q27" s="61">
        <f t="shared" ref="Q27" si="41">Q26*Q29</f>
        <v>18039.560439560435</v>
      </c>
      <c r="R27" s="61">
        <f t="shared" ref="R27" si="42">R26*R29</f>
        <v>18514.28571428571</v>
      </c>
      <c r="S27" s="61">
        <f t="shared" ref="S27" si="43">S26*S29</f>
        <v>18989.010989010985</v>
      </c>
      <c r="T27" s="61">
        <f t="shared" ref="T27" si="44">T26*T29</f>
        <v>18989.010989010985</v>
      </c>
      <c r="U27" s="61">
        <f t="shared" ref="U27" si="45">U26*U29</f>
        <v>18989.010989010985</v>
      </c>
      <c r="V27" s="61">
        <f>V26*V29</f>
        <v>18989.010989010985</v>
      </c>
      <c r="W27" s="61">
        <f>SUM(J27:V27)*0.8</f>
        <v>168622.41758241752</v>
      </c>
      <c r="X27" s="61">
        <f>W27-D29</f>
        <v>125853.18681318675</v>
      </c>
      <c r="Y27" s="1">
        <v>47483</v>
      </c>
      <c r="Z27" s="71">
        <f ca="1">Y27-TODAY()</f>
        <v>1306</v>
      </c>
    </row>
    <row r="28" spans="1:26" x14ac:dyDescent="0.35">
      <c r="A28" s="56" t="s">
        <v>152</v>
      </c>
      <c r="B28" s="58">
        <f>B27</f>
        <v>47453</v>
      </c>
      <c r="C28" s="60">
        <v>4000000</v>
      </c>
      <c r="D28" s="59">
        <f>C28/130</f>
        <v>30769.23076923077</v>
      </c>
      <c r="E28" s="56">
        <v>12</v>
      </c>
      <c r="F28" s="61">
        <f>D28/E28*1.2</f>
        <v>3076.9230769230767</v>
      </c>
      <c r="G28" s="61">
        <f>F28/20</f>
        <v>153.84615384615384</v>
      </c>
      <c r="I28" s="56" t="s">
        <v>157</v>
      </c>
      <c r="J28" s="61">
        <f>J27/20</f>
        <v>759.56043956043936</v>
      </c>
      <c r="K28" s="61"/>
      <c r="L28" s="61">
        <f t="shared" ref="L28:Q28" si="46">L27/20</f>
        <v>783.29670329670319</v>
      </c>
      <c r="M28" s="61">
        <f t="shared" si="46"/>
        <v>807.03296703296678</v>
      </c>
      <c r="N28" s="61">
        <f t="shared" si="46"/>
        <v>830.76923076923072</v>
      </c>
      <c r="O28" s="61">
        <f t="shared" si="46"/>
        <v>854.5054945054942</v>
      </c>
      <c r="P28" s="61">
        <f t="shared" si="46"/>
        <v>878.24175824175802</v>
      </c>
      <c r="Q28" s="61">
        <f t="shared" si="46"/>
        <v>901.97802197802173</v>
      </c>
      <c r="R28" s="61">
        <f t="shared" ref="R28" si="47">R27/20</f>
        <v>925.71428571428555</v>
      </c>
      <c r="S28" s="61">
        <f t="shared" ref="S28" si="48">S27/20</f>
        <v>949.45054945054926</v>
      </c>
      <c r="T28" s="61">
        <f t="shared" ref="T28" si="49">T27/20</f>
        <v>949.45054945054926</v>
      </c>
      <c r="U28" s="61">
        <f t="shared" ref="U28" si="50">U27/20</f>
        <v>949.45054945054926</v>
      </c>
      <c r="V28" s="61">
        <f>V27/20</f>
        <v>949.45054945054926</v>
      </c>
      <c r="W28" s="56"/>
      <c r="X28" s="56"/>
    </row>
    <row r="29" spans="1:26" x14ac:dyDescent="0.35">
      <c r="A29" s="62" t="s">
        <v>63</v>
      </c>
      <c r="B29" s="62"/>
      <c r="C29" s="63">
        <f>SUM(C26:C28)</f>
        <v>5560000</v>
      </c>
      <c r="D29" s="65">
        <f>SUM(D26:D28)</f>
        <v>42769.230769230766</v>
      </c>
      <c r="E29" s="62"/>
      <c r="F29" s="64">
        <f>SUM(F26:F28)</f>
        <v>4276.9230769230762</v>
      </c>
      <c r="G29" s="64">
        <f>SUM(G26:G28)</f>
        <v>213.84615384615384</v>
      </c>
      <c r="I29" s="56" t="s">
        <v>159</v>
      </c>
      <c r="J29" s="49">
        <f>J21</f>
        <v>4.7472527472527462E-2</v>
      </c>
      <c r="K29" s="49"/>
      <c r="L29" s="49">
        <f>J29</f>
        <v>4.7472527472527462E-2</v>
      </c>
      <c r="M29" s="49">
        <f>L29</f>
        <v>4.7472527472527462E-2</v>
      </c>
      <c r="N29" s="49">
        <f t="shared" ref="N29:V29" si="51">M29</f>
        <v>4.7472527472527462E-2</v>
      </c>
      <c r="O29" s="49">
        <f t="shared" si="51"/>
        <v>4.7472527472527462E-2</v>
      </c>
      <c r="P29" s="49">
        <f t="shared" si="51"/>
        <v>4.7472527472527462E-2</v>
      </c>
      <c r="Q29" s="49">
        <f t="shared" si="51"/>
        <v>4.7472527472527462E-2</v>
      </c>
      <c r="R29" s="49">
        <f t="shared" si="51"/>
        <v>4.7472527472527462E-2</v>
      </c>
      <c r="S29" s="49">
        <f t="shared" si="51"/>
        <v>4.7472527472527462E-2</v>
      </c>
      <c r="T29" s="49">
        <f t="shared" si="51"/>
        <v>4.7472527472527462E-2</v>
      </c>
      <c r="U29" s="49">
        <f t="shared" si="51"/>
        <v>4.7472527472527462E-2</v>
      </c>
      <c r="V29" s="49">
        <f t="shared" si="51"/>
        <v>4.7472527472527462E-2</v>
      </c>
      <c r="W29" s="56"/>
      <c r="X29" s="56"/>
    </row>
    <row r="30" spans="1:26" s="56" customFormat="1" x14ac:dyDescent="0.35">
      <c r="I30" s="56" t="s">
        <v>169</v>
      </c>
      <c r="J30" s="66">
        <f>J28/J26</f>
        <v>2.3736263736263731E-3</v>
      </c>
      <c r="K30" s="66"/>
      <c r="L30" s="66">
        <f t="shared" ref="L30:V30" si="52">L28/L26</f>
        <v>2.3736263736263731E-3</v>
      </c>
      <c r="M30" s="66">
        <f t="shared" si="52"/>
        <v>2.3736263736263727E-3</v>
      </c>
      <c r="N30" s="66">
        <f t="shared" si="52"/>
        <v>2.3736263736263735E-3</v>
      </c>
      <c r="O30" s="66">
        <f t="shared" si="52"/>
        <v>2.3736263736263727E-3</v>
      </c>
      <c r="P30" s="66">
        <f t="shared" si="52"/>
        <v>2.3736263736263731E-3</v>
      </c>
      <c r="Q30" s="66">
        <f t="shared" si="52"/>
        <v>2.3736263736263731E-3</v>
      </c>
      <c r="R30" s="66">
        <f t="shared" si="52"/>
        <v>2.3736263736263731E-3</v>
      </c>
      <c r="S30" s="66">
        <f t="shared" si="52"/>
        <v>2.3736263736263731E-3</v>
      </c>
      <c r="T30" s="66">
        <f t="shared" si="52"/>
        <v>2.3736263736263731E-3</v>
      </c>
      <c r="U30" s="66">
        <f t="shared" si="52"/>
        <v>2.3736263736263731E-3</v>
      </c>
      <c r="V30" s="66">
        <f t="shared" si="52"/>
        <v>2.3736263736263731E-3</v>
      </c>
    </row>
    <row r="31" spans="1:26" s="56" customFormat="1" x14ac:dyDescent="0.35">
      <c r="I31" s="56" t="s">
        <v>170</v>
      </c>
      <c r="J31" s="66">
        <v>5.0000000000000001E-3</v>
      </c>
      <c r="K31" s="66"/>
      <c r="L31" s="66">
        <v>5.0000000000000001E-3</v>
      </c>
      <c r="M31" s="66">
        <v>5.0000000000000001E-3</v>
      </c>
      <c r="N31" s="66">
        <v>5.0000000000000001E-3</v>
      </c>
      <c r="O31" s="66">
        <v>5.0000000000000001E-3</v>
      </c>
      <c r="P31" s="66">
        <v>5.0000000000000001E-3</v>
      </c>
      <c r="Q31" s="66">
        <v>5.0000000000000001E-3</v>
      </c>
      <c r="R31" s="66">
        <v>5.0000000000000001E-3</v>
      </c>
      <c r="S31" s="66">
        <v>5.0000000000000001E-3</v>
      </c>
      <c r="T31" s="66">
        <v>5.0000000000000001E-3</v>
      </c>
      <c r="U31" s="66">
        <v>5.0000000000000001E-3</v>
      </c>
      <c r="V31" s="66">
        <v>5.0000000000000001E-3</v>
      </c>
    </row>
    <row r="32" spans="1:26" x14ac:dyDescent="0.35">
      <c r="V32" s="61"/>
    </row>
  </sheetData>
  <conditionalFormatting sqref="R3">
    <cfRule type="cellIs" dxfId="3" priority="4" operator="greaterThan">
      <formula>$D$4</formula>
    </cfRule>
  </conditionalFormatting>
  <conditionalFormatting sqref="W11">
    <cfRule type="cellIs" dxfId="2" priority="3" operator="greaterThan">
      <formula>$D$4</formula>
    </cfRule>
  </conditionalFormatting>
  <conditionalFormatting sqref="W27">
    <cfRule type="cellIs" dxfId="1" priority="1" operator="greaterThan">
      <formula>$D$4</formula>
    </cfRule>
  </conditionalFormatting>
  <conditionalFormatting sqref="W19">
    <cfRule type="cellIs" dxfId="0" priority="2" operator="greaterThan">
      <formula>$D$4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pane ySplit="2" topLeftCell="A3" activePane="bottomLeft" state="frozen"/>
      <selection pane="bottomLeft" activeCell="D4" sqref="D4"/>
    </sheetView>
  </sheetViews>
  <sheetFormatPr defaultRowHeight="14.5" x14ac:dyDescent="0.35"/>
  <cols>
    <col min="1" max="1" width="11.7265625" bestFit="1" customWidth="1"/>
    <col min="2" max="2" width="10.453125" bestFit="1" customWidth="1"/>
    <col min="3" max="3" width="12.1796875" bestFit="1" customWidth="1"/>
    <col min="4" max="4" width="10.81640625" bestFit="1" customWidth="1"/>
    <col min="5" max="5" width="13" style="21" bestFit="1" customWidth="1"/>
    <col min="6" max="6" width="10.81640625" bestFit="1" customWidth="1"/>
    <col min="7" max="7" width="10.81640625" customWidth="1"/>
    <col min="8" max="8" width="10.81640625" style="29" bestFit="1" customWidth="1"/>
    <col min="9" max="9" width="11.54296875" bestFit="1" customWidth="1"/>
    <col min="10" max="11" width="14.1796875" bestFit="1" customWidth="1"/>
    <col min="12" max="12" width="16.1796875" bestFit="1" customWidth="1"/>
  </cols>
  <sheetData>
    <row r="1" spans="1:12" x14ac:dyDescent="0.35">
      <c r="B1" t="s">
        <v>64</v>
      </c>
      <c r="D1" s="19">
        <v>10000</v>
      </c>
    </row>
    <row r="2" spans="1:12" x14ac:dyDescent="0.35">
      <c r="A2" t="s">
        <v>65</v>
      </c>
      <c r="C2" t="s">
        <v>66</v>
      </c>
      <c r="D2" t="s">
        <v>62</v>
      </c>
      <c r="E2" s="21" t="s">
        <v>67</v>
      </c>
      <c r="F2" t="s">
        <v>63</v>
      </c>
      <c r="G2" t="s">
        <v>102</v>
      </c>
      <c r="H2" s="29" t="s">
        <v>68</v>
      </c>
      <c r="I2" t="s">
        <v>103</v>
      </c>
      <c r="J2" t="s">
        <v>104</v>
      </c>
      <c r="K2" t="s">
        <v>100</v>
      </c>
      <c r="L2" t="s">
        <v>101</v>
      </c>
    </row>
    <row r="3" spans="1:12" x14ac:dyDescent="0.35">
      <c r="B3" s="1"/>
      <c r="C3" s="19"/>
      <c r="D3" s="19"/>
      <c r="E3" s="22"/>
      <c r="F3" s="19"/>
      <c r="G3" s="19"/>
      <c r="H3" s="30"/>
      <c r="I3" s="19"/>
      <c r="J3" s="19"/>
      <c r="K3" s="19"/>
      <c r="L3" s="19"/>
    </row>
    <row r="4" spans="1:12" x14ac:dyDescent="0.35">
      <c r="A4" t="s">
        <v>105</v>
      </c>
      <c r="B4" s="1">
        <v>46082</v>
      </c>
      <c r="C4" s="19"/>
      <c r="D4" s="19"/>
      <c r="E4" s="22">
        <f>D1*2.4%</f>
        <v>240</v>
      </c>
      <c r="F4" s="19">
        <f>D1+E4</f>
        <v>10240</v>
      </c>
      <c r="G4" s="19"/>
      <c r="H4" s="30">
        <f>(10000)*2.4%</f>
        <v>240</v>
      </c>
      <c r="I4" s="19"/>
      <c r="J4" s="19">
        <f t="shared" ref="J4:J13" si="0">I4*128</f>
        <v>0</v>
      </c>
      <c r="K4" s="19">
        <f t="shared" ref="K4:K13" si="1">G4-10000-200</f>
        <v>-10200</v>
      </c>
      <c r="L4" s="19">
        <f t="shared" ref="L4:L13" si="2">K4*128</f>
        <v>-1305600</v>
      </c>
    </row>
    <row r="5" spans="1:12" x14ac:dyDescent="0.35">
      <c r="A5" t="s">
        <v>106</v>
      </c>
      <c r="B5" s="1">
        <f t="shared" ref="B5:B13" si="3">B4+1</f>
        <v>46083</v>
      </c>
      <c r="C5" s="19">
        <f t="shared" ref="C5:C13" si="4">E4</f>
        <v>240</v>
      </c>
      <c r="D5" s="19">
        <f t="shared" ref="D5:D13" si="5">D4</f>
        <v>0</v>
      </c>
      <c r="E5" s="22">
        <f t="shared" ref="E5:E13" si="6">C5+D5</f>
        <v>240</v>
      </c>
      <c r="F5" s="19">
        <f t="shared" ref="F5:F13" si="7">F4+D5</f>
        <v>10240</v>
      </c>
      <c r="G5" s="19"/>
      <c r="H5" s="30">
        <f t="shared" ref="H5:H13" si="8">(F5-10000)*2.4</f>
        <v>576</v>
      </c>
      <c r="I5" s="19">
        <f t="shared" ref="I5:I13" si="9">F5-$D$1-200</f>
        <v>40</v>
      </c>
      <c r="J5" s="19">
        <f t="shared" si="0"/>
        <v>5120</v>
      </c>
      <c r="K5" s="19">
        <f t="shared" si="1"/>
        <v>-10200</v>
      </c>
      <c r="L5" s="19">
        <f t="shared" si="2"/>
        <v>-1305600</v>
      </c>
    </row>
    <row r="6" spans="1:12" x14ac:dyDescent="0.35">
      <c r="A6" t="s">
        <v>107</v>
      </c>
      <c r="B6" s="1">
        <f t="shared" si="3"/>
        <v>46084</v>
      </c>
      <c r="C6" s="19">
        <f t="shared" si="4"/>
        <v>240</v>
      </c>
      <c r="D6" s="19">
        <f t="shared" si="5"/>
        <v>0</v>
      </c>
      <c r="E6" s="22">
        <f t="shared" si="6"/>
        <v>240</v>
      </c>
      <c r="F6" s="19">
        <f t="shared" si="7"/>
        <v>10240</v>
      </c>
      <c r="G6" s="19"/>
      <c r="H6" s="30">
        <f t="shared" si="8"/>
        <v>576</v>
      </c>
      <c r="I6" s="19">
        <f t="shared" si="9"/>
        <v>40</v>
      </c>
      <c r="J6" s="19">
        <f t="shared" si="0"/>
        <v>5120</v>
      </c>
      <c r="K6" s="19">
        <f t="shared" si="1"/>
        <v>-10200</v>
      </c>
      <c r="L6" s="19">
        <f t="shared" si="2"/>
        <v>-1305600</v>
      </c>
    </row>
    <row r="7" spans="1:12" x14ac:dyDescent="0.35">
      <c r="A7" t="s">
        <v>108</v>
      </c>
      <c r="B7" s="1">
        <f t="shared" si="3"/>
        <v>46085</v>
      </c>
      <c r="C7" s="19">
        <f t="shared" si="4"/>
        <v>240</v>
      </c>
      <c r="D7" s="19">
        <f t="shared" si="5"/>
        <v>0</v>
      </c>
      <c r="E7" s="22">
        <f t="shared" si="6"/>
        <v>240</v>
      </c>
      <c r="F7" s="19">
        <f t="shared" si="7"/>
        <v>10240</v>
      </c>
      <c r="G7" s="19"/>
      <c r="H7" s="30">
        <f t="shared" si="8"/>
        <v>576</v>
      </c>
      <c r="I7" s="19">
        <f t="shared" si="9"/>
        <v>40</v>
      </c>
      <c r="J7" s="19">
        <f t="shared" si="0"/>
        <v>5120</v>
      </c>
      <c r="K7" s="19">
        <f t="shared" si="1"/>
        <v>-10200</v>
      </c>
      <c r="L7" s="19">
        <f t="shared" si="2"/>
        <v>-1305600</v>
      </c>
    </row>
    <row r="8" spans="1:12" x14ac:dyDescent="0.35">
      <c r="A8" t="s">
        <v>109</v>
      </c>
      <c r="B8" s="1">
        <f t="shared" si="3"/>
        <v>46086</v>
      </c>
      <c r="C8" s="19">
        <f t="shared" si="4"/>
        <v>240</v>
      </c>
      <c r="D8" s="19">
        <f t="shared" si="5"/>
        <v>0</v>
      </c>
      <c r="E8" s="22">
        <f t="shared" si="6"/>
        <v>240</v>
      </c>
      <c r="F8" s="19">
        <f t="shared" si="7"/>
        <v>10240</v>
      </c>
      <c r="G8" s="19"/>
      <c r="H8" s="30">
        <f t="shared" si="8"/>
        <v>576</v>
      </c>
      <c r="I8" s="19">
        <f t="shared" si="9"/>
        <v>40</v>
      </c>
      <c r="J8" s="19">
        <f t="shared" si="0"/>
        <v>5120</v>
      </c>
      <c r="K8" s="19">
        <f t="shared" si="1"/>
        <v>-10200</v>
      </c>
      <c r="L8" s="19">
        <f t="shared" si="2"/>
        <v>-1305600</v>
      </c>
    </row>
    <row r="9" spans="1:12" x14ac:dyDescent="0.35">
      <c r="A9" t="s">
        <v>110</v>
      </c>
      <c r="B9" s="1">
        <f t="shared" si="3"/>
        <v>46087</v>
      </c>
      <c r="C9" s="19">
        <f t="shared" si="4"/>
        <v>240</v>
      </c>
      <c r="D9" s="19">
        <f t="shared" si="5"/>
        <v>0</v>
      </c>
      <c r="E9" s="22">
        <f t="shared" si="6"/>
        <v>240</v>
      </c>
      <c r="F9" s="19">
        <f t="shared" si="7"/>
        <v>10240</v>
      </c>
      <c r="G9" s="19"/>
      <c r="H9" s="30">
        <f t="shared" si="8"/>
        <v>576</v>
      </c>
      <c r="I9" s="19">
        <f t="shared" si="9"/>
        <v>40</v>
      </c>
      <c r="J9" s="19">
        <f t="shared" si="0"/>
        <v>5120</v>
      </c>
      <c r="K9" s="19">
        <f t="shared" si="1"/>
        <v>-10200</v>
      </c>
      <c r="L9" s="19">
        <f t="shared" si="2"/>
        <v>-1305600</v>
      </c>
    </row>
    <row r="10" spans="1:12" x14ac:dyDescent="0.35">
      <c r="A10" t="s">
        <v>111</v>
      </c>
      <c r="B10" s="1">
        <f t="shared" si="3"/>
        <v>46088</v>
      </c>
      <c r="C10" s="19">
        <f t="shared" si="4"/>
        <v>240</v>
      </c>
      <c r="D10" s="19">
        <f t="shared" si="5"/>
        <v>0</v>
      </c>
      <c r="E10" s="22">
        <f t="shared" si="6"/>
        <v>240</v>
      </c>
      <c r="F10" s="19">
        <f t="shared" si="7"/>
        <v>10240</v>
      </c>
      <c r="G10" s="19"/>
      <c r="H10" s="30">
        <f t="shared" si="8"/>
        <v>576</v>
      </c>
      <c r="I10" s="19">
        <f t="shared" si="9"/>
        <v>40</v>
      </c>
      <c r="J10" s="19">
        <f t="shared" si="0"/>
        <v>5120</v>
      </c>
      <c r="K10" s="19">
        <f t="shared" si="1"/>
        <v>-10200</v>
      </c>
      <c r="L10" s="19">
        <f t="shared" si="2"/>
        <v>-1305600</v>
      </c>
    </row>
    <row r="11" spans="1:12" x14ac:dyDescent="0.35">
      <c r="A11" t="s">
        <v>112</v>
      </c>
      <c r="B11" s="1">
        <f t="shared" si="3"/>
        <v>46089</v>
      </c>
      <c r="C11" s="19">
        <f t="shared" si="4"/>
        <v>240</v>
      </c>
      <c r="D11" s="19">
        <f t="shared" si="5"/>
        <v>0</v>
      </c>
      <c r="E11" s="22">
        <f t="shared" si="6"/>
        <v>240</v>
      </c>
      <c r="F11" s="19">
        <f t="shared" si="7"/>
        <v>10240</v>
      </c>
      <c r="G11" s="19"/>
      <c r="H11" s="30">
        <f t="shared" si="8"/>
        <v>576</v>
      </c>
      <c r="I11" s="19">
        <f t="shared" si="9"/>
        <v>40</v>
      </c>
      <c r="J11" s="19">
        <f t="shared" si="0"/>
        <v>5120</v>
      </c>
      <c r="K11" s="19">
        <f t="shared" si="1"/>
        <v>-10200</v>
      </c>
      <c r="L11" s="19">
        <f t="shared" si="2"/>
        <v>-1305600</v>
      </c>
    </row>
    <row r="12" spans="1:12" x14ac:dyDescent="0.35">
      <c r="A12" t="s">
        <v>113</v>
      </c>
      <c r="B12" s="1">
        <f t="shared" si="3"/>
        <v>46090</v>
      </c>
      <c r="C12" s="19">
        <f t="shared" si="4"/>
        <v>240</v>
      </c>
      <c r="D12" s="19">
        <f t="shared" si="5"/>
        <v>0</v>
      </c>
      <c r="E12" s="22">
        <f t="shared" si="6"/>
        <v>240</v>
      </c>
      <c r="F12" s="19">
        <f t="shared" si="7"/>
        <v>10240</v>
      </c>
      <c r="G12" s="19"/>
      <c r="H12" s="30">
        <f t="shared" si="8"/>
        <v>576</v>
      </c>
      <c r="I12" s="19">
        <f t="shared" si="9"/>
        <v>40</v>
      </c>
      <c r="J12" s="19">
        <f t="shared" si="0"/>
        <v>5120</v>
      </c>
      <c r="K12" s="19">
        <f t="shared" si="1"/>
        <v>-10200</v>
      </c>
      <c r="L12" s="19">
        <f t="shared" si="2"/>
        <v>-1305600</v>
      </c>
    </row>
    <row r="13" spans="1:12" x14ac:dyDescent="0.35">
      <c r="A13" t="s">
        <v>114</v>
      </c>
      <c r="B13" s="1">
        <f t="shared" si="3"/>
        <v>46091</v>
      </c>
      <c r="C13" s="19">
        <f t="shared" si="4"/>
        <v>240</v>
      </c>
      <c r="D13" s="19">
        <f t="shared" si="5"/>
        <v>0</v>
      </c>
      <c r="E13" s="22">
        <f t="shared" si="6"/>
        <v>240</v>
      </c>
      <c r="F13" s="19">
        <f t="shared" si="7"/>
        <v>10240</v>
      </c>
      <c r="G13" s="19"/>
      <c r="H13" s="30">
        <f t="shared" si="8"/>
        <v>576</v>
      </c>
      <c r="I13" s="19">
        <f t="shared" si="9"/>
        <v>40</v>
      </c>
      <c r="J13" s="19">
        <f t="shared" si="0"/>
        <v>5120</v>
      </c>
      <c r="K13" s="19">
        <f t="shared" si="1"/>
        <v>-10200</v>
      </c>
      <c r="L13" s="19">
        <f t="shared" si="2"/>
        <v>-1305600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topLeftCell="B1" workbookViewId="0">
      <pane ySplit="2" topLeftCell="A3" activePane="bottomLeft" state="frozen"/>
      <selection pane="bottomLeft" activeCell="K62" sqref="K62"/>
    </sheetView>
  </sheetViews>
  <sheetFormatPr defaultRowHeight="14.5" x14ac:dyDescent="0.35"/>
  <cols>
    <col min="1" max="1" width="14.81640625" customWidth="1"/>
    <col min="2" max="2" width="10.453125" bestFit="1" customWidth="1"/>
    <col min="3" max="3" width="12.1796875" bestFit="1" customWidth="1"/>
    <col min="4" max="4" width="10.81640625" bestFit="1" customWidth="1"/>
    <col min="5" max="5" width="13" style="21" bestFit="1" customWidth="1"/>
    <col min="6" max="6" width="10.81640625" bestFit="1" customWidth="1"/>
    <col min="7" max="7" width="10.81640625" customWidth="1"/>
    <col min="8" max="8" width="11.54296875" bestFit="1" customWidth="1"/>
    <col min="9" max="10" width="14.1796875" bestFit="1" customWidth="1"/>
    <col min="11" max="11" width="16.1796875" bestFit="1" customWidth="1"/>
    <col min="12" max="12" width="8.81640625" bestFit="1" customWidth="1"/>
    <col min="13" max="13" width="11.81640625" bestFit="1" customWidth="1"/>
    <col min="14" max="14" width="3.81640625" bestFit="1" customWidth="1"/>
  </cols>
  <sheetData>
    <row r="1" spans="1:11" x14ac:dyDescent="0.35">
      <c r="B1" t="s">
        <v>64</v>
      </c>
      <c r="D1" s="19">
        <v>10000</v>
      </c>
    </row>
    <row r="2" spans="1:11" x14ac:dyDescent="0.35">
      <c r="A2" t="s">
        <v>65</v>
      </c>
      <c r="C2" t="s">
        <v>66</v>
      </c>
      <c r="D2" t="s">
        <v>62</v>
      </c>
      <c r="E2" s="21" t="s">
        <v>67</v>
      </c>
      <c r="F2" t="s">
        <v>63</v>
      </c>
      <c r="G2" t="s">
        <v>102</v>
      </c>
      <c r="H2" t="s">
        <v>103</v>
      </c>
      <c r="I2" t="s">
        <v>104</v>
      </c>
      <c r="J2" t="s">
        <v>100</v>
      </c>
      <c r="K2" t="s">
        <v>101</v>
      </c>
    </row>
    <row r="3" spans="1:11" x14ac:dyDescent="0.35">
      <c r="A3" t="s">
        <v>75</v>
      </c>
      <c r="B3" s="1">
        <v>46024</v>
      </c>
      <c r="C3" s="19">
        <f>D3</f>
        <v>150</v>
      </c>
      <c r="D3" s="19">
        <v>150</v>
      </c>
      <c r="E3" s="22">
        <f>C3</f>
        <v>150</v>
      </c>
      <c r="F3" s="19">
        <f>D1+D3</f>
        <v>10150</v>
      </c>
      <c r="G3" s="19"/>
    </row>
    <row r="4" spans="1:11" x14ac:dyDescent="0.35">
      <c r="A4" t="s">
        <v>76</v>
      </c>
      <c r="B4" s="1">
        <f>B3+3</f>
        <v>46027</v>
      </c>
      <c r="C4" s="19">
        <f>E3</f>
        <v>150</v>
      </c>
      <c r="D4" s="19">
        <f>D3</f>
        <v>150</v>
      </c>
      <c r="E4" s="22">
        <f>C4+D4</f>
        <v>300</v>
      </c>
      <c r="F4" s="19">
        <f t="shared" ref="F4:F42" si="0">F3+D4</f>
        <v>10300</v>
      </c>
      <c r="G4" s="19"/>
    </row>
    <row r="5" spans="1:11" x14ac:dyDescent="0.35">
      <c r="A5" t="s">
        <v>77</v>
      </c>
      <c r="B5" s="1">
        <f t="shared" ref="B5:B23" si="1">B4+1</f>
        <v>46028</v>
      </c>
      <c r="C5" s="19">
        <f>E4</f>
        <v>300</v>
      </c>
      <c r="D5" s="19">
        <f t="shared" ref="D5:D23" si="2">D4</f>
        <v>150</v>
      </c>
      <c r="E5" s="22">
        <f>C5+D5</f>
        <v>450</v>
      </c>
      <c r="F5" s="19">
        <f t="shared" si="0"/>
        <v>10450</v>
      </c>
      <c r="G5" s="19"/>
    </row>
    <row r="6" spans="1:11" x14ac:dyDescent="0.35">
      <c r="A6" t="s">
        <v>78</v>
      </c>
      <c r="B6" s="1">
        <f>B5+1</f>
        <v>46029</v>
      </c>
      <c r="C6" s="19">
        <f t="shared" ref="C6:C21" si="3">E5</f>
        <v>450</v>
      </c>
      <c r="D6" s="19">
        <f t="shared" si="2"/>
        <v>150</v>
      </c>
      <c r="E6" s="22">
        <f t="shared" ref="E6:E23" si="4">C6+D6</f>
        <v>600</v>
      </c>
      <c r="F6" s="19">
        <f t="shared" si="0"/>
        <v>10600</v>
      </c>
      <c r="G6" s="19"/>
    </row>
    <row r="7" spans="1:11" x14ac:dyDescent="0.35">
      <c r="A7" t="s">
        <v>79</v>
      </c>
      <c r="B7" s="1">
        <f>B6+1</f>
        <v>46030</v>
      </c>
      <c r="C7" s="19">
        <f t="shared" si="3"/>
        <v>600</v>
      </c>
      <c r="D7" s="19">
        <f t="shared" si="2"/>
        <v>150</v>
      </c>
      <c r="E7" s="22">
        <f t="shared" si="4"/>
        <v>750</v>
      </c>
      <c r="F7" s="19">
        <f t="shared" si="0"/>
        <v>10750</v>
      </c>
      <c r="G7" s="19"/>
    </row>
    <row r="8" spans="1:11" x14ac:dyDescent="0.35">
      <c r="A8" t="s">
        <v>80</v>
      </c>
      <c r="B8" s="1">
        <f t="shared" si="1"/>
        <v>46031</v>
      </c>
      <c r="C8" s="19">
        <f t="shared" si="3"/>
        <v>750</v>
      </c>
      <c r="D8" s="19">
        <f t="shared" si="2"/>
        <v>150</v>
      </c>
      <c r="E8" s="22">
        <f t="shared" si="4"/>
        <v>900</v>
      </c>
      <c r="F8" s="19">
        <f t="shared" si="0"/>
        <v>10900</v>
      </c>
      <c r="G8" s="19"/>
    </row>
    <row r="9" spans="1:11" x14ac:dyDescent="0.35">
      <c r="A9" s="45" t="s">
        <v>81</v>
      </c>
      <c r="B9" s="25">
        <f>B8+3</f>
        <v>46034</v>
      </c>
      <c r="C9" s="26">
        <f t="shared" si="3"/>
        <v>900</v>
      </c>
      <c r="D9" s="26">
        <f t="shared" si="2"/>
        <v>150</v>
      </c>
      <c r="E9" s="26">
        <f t="shared" si="4"/>
        <v>1050</v>
      </c>
      <c r="F9" s="26">
        <f t="shared" si="0"/>
        <v>11050</v>
      </c>
      <c r="G9" s="19"/>
    </row>
    <row r="10" spans="1:11" x14ac:dyDescent="0.35">
      <c r="A10" t="s">
        <v>70</v>
      </c>
      <c r="B10" s="1">
        <f>B9+1</f>
        <v>46035</v>
      </c>
      <c r="C10" s="19">
        <f t="shared" si="3"/>
        <v>1050</v>
      </c>
      <c r="D10" s="19">
        <f t="shared" si="2"/>
        <v>150</v>
      </c>
      <c r="E10" s="22">
        <f>D10</f>
        <v>150</v>
      </c>
      <c r="F10" s="19">
        <f>D10+D1</f>
        <v>10150</v>
      </c>
      <c r="G10" s="19"/>
    </row>
    <row r="11" spans="1:11" x14ac:dyDescent="0.35">
      <c r="A11" s="12" t="s">
        <v>71</v>
      </c>
      <c r="B11" s="23">
        <f t="shared" si="1"/>
        <v>46036</v>
      </c>
      <c r="C11" s="24">
        <f t="shared" si="3"/>
        <v>150</v>
      </c>
      <c r="D11" s="24">
        <f t="shared" si="2"/>
        <v>150</v>
      </c>
      <c r="E11" s="24">
        <f t="shared" si="4"/>
        <v>300</v>
      </c>
      <c r="F11" s="24">
        <f t="shared" si="0"/>
        <v>10300</v>
      </c>
      <c r="G11" s="19"/>
    </row>
    <row r="12" spans="1:11" x14ac:dyDescent="0.35">
      <c r="A12" t="s">
        <v>72</v>
      </c>
      <c r="B12" s="23">
        <f>B11+1</f>
        <v>46037</v>
      </c>
      <c r="C12" s="24">
        <f>E11</f>
        <v>300</v>
      </c>
      <c r="D12" s="24">
        <f>D11</f>
        <v>150</v>
      </c>
      <c r="E12" s="24">
        <f t="shared" si="4"/>
        <v>450</v>
      </c>
      <c r="F12" s="24">
        <f t="shared" si="0"/>
        <v>10450</v>
      </c>
      <c r="G12" s="19"/>
    </row>
    <row r="13" spans="1:11" x14ac:dyDescent="0.35">
      <c r="A13" s="45" t="s">
        <v>73</v>
      </c>
      <c r="B13" s="25">
        <f t="shared" si="1"/>
        <v>46038</v>
      </c>
      <c r="C13" s="26">
        <f t="shared" si="3"/>
        <v>450</v>
      </c>
      <c r="D13" s="26">
        <f t="shared" si="2"/>
        <v>150</v>
      </c>
      <c r="E13" s="26">
        <f t="shared" si="4"/>
        <v>600</v>
      </c>
      <c r="F13" s="26">
        <f t="shared" si="0"/>
        <v>10600</v>
      </c>
      <c r="G13" s="19"/>
    </row>
    <row r="14" spans="1:11" x14ac:dyDescent="0.35">
      <c r="A14" s="33" t="s">
        <v>115</v>
      </c>
      <c r="B14" s="34">
        <f>B13+3</f>
        <v>46041</v>
      </c>
      <c r="C14" s="35"/>
      <c r="D14" s="35"/>
      <c r="E14" s="35"/>
      <c r="F14" s="35"/>
      <c r="G14" s="19"/>
    </row>
    <row r="15" spans="1:11" x14ac:dyDescent="0.35">
      <c r="A15" t="s">
        <v>69</v>
      </c>
      <c r="B15" s="23">
        <f>B14+1</f>
        <v>46042</v>
      </c>
      <c r="C15" s="24">
        <f t="shared" si="3"/>
        <v>0</v>
      </c>
      <c r="D15" s="24">
        <f>D12</f>
        <v>150</v>
      </c>
      <c r="E15" s="24">
        <f t="shared" si="4"/>
        <v>150</v>
      </c>
      <c r="F15" s="24">
        <f>$D$1+D15</f>
        <v>10150</v>
      </c>
      <c r="G15" s="19"/>
      <c r="H15" s="19"/>
    </row>
    <row r="16" spans="1:11" x14ac:dyDescent="0.35">
      <c r="A16" t="s">
        <v>82</v>
      </c>
      <c r="B16" s="23">
        <f t="shared" si="1"/>
        <v>46043</v>
      </c>
      <c r="C16" s="24">
        <f>D15</f>
        <v>150</v>
      </c>
      <c r="D16" s="24">
        <f>D13</f>
        <v>150</v>
      </c>
      <c r="E16" s="24">
        <f t="shared" si="4"/>
        <v>300</v>
      </c>
      <c r="F16" s="24">
        <f>F15+D16</f>
        <v>10300</v>
      </c>
      <c r="G16" s="24"/>
      <c r="H16" s="19">
        <f>F16-$D$1-200</f>
        <v>100</v>
      </c>
      <c r="I16" s="19">
        <f t="shared" ref="I16:I67" si="5">H16*128</f>
        <v>12800</v>
      </c>
    </row>
    <row r="17" spans="1:14" x14ac:dyDescent="0.35">
      <c r="A17" t="s">
        <v>83</v>
      </c>
      <c r="B17" s="23">
        <f>B16+1</f>
        <v>46044</v>
      </c>
      <c r="C17" s="19">
        <f t="shared" si="3"/>
        <v>300</v>
      </c>
      <c r="D17" s="19">
        <f>D15</f>
        <v>150</v>
      </c>
      <c r="E17" s="22">
        <f t="shared" si="4"/>
        <v>450</v>
      </c>
      <c r="F17" s="24">
        <f t="shared" ref="F17:F23" si="6">F16+D17</f>
        <v>10450</v>
      </c>
      <c r="G17" s="19"/>
      <c r="H17" s="19">
        <f t="shared" ref="H17" si="7">F17-$D$1-200</f>
        <v>250</v>
      </c>
      <c r="I17" s="19">
        <f t="shared" si="5"/>
        <v>32000</v>
      </c>
      <c r="J17" s="19">
        <f t="shared" ref="J17:J23" si="8">G17-10000-200</f>
        <v>-10200</v>
      </c>
      <c r="K17" s="19">
        <f>J17*128</f>
        <v>-1305600</v>
      </c>
    </row>
    <row r="18" spans="1:14" x14ac:dyDescent="0.35">
      <c r="A18" t="s">
        <v>84</v>
      </c>
      <c r="B18" s="1">
        <f t="shared" si="1"/>
        <v>46045</v>
      </c>
      <c r="C18" s="19">
        <f t="shared" si="3"/>
        <v>450</v>
      </c>
      <c r="D18" s="19">
        <f t="shared" si="2"/>
        <v>150</v>
      </c>
      <c r="E18" s="22">
        <f t="shared" si="4"/>
        <v>600</v>
      </c>
      <c r="F18" s="24">
        <f t="shared" si="6"/>
        <v>10600</v>
      </c>
      <c r="G18" s="19"/>
      <c r="H18" s="19">
        <f>F18-$D$1-200</f>
        <v>400</v>
      </c>
      <c r="I18" s="19">
        <f t="shared" si="5"/>
        <v>51200</v>
      </c>
      <c r="J18" s="19">
        <f t="shared" si="8"/>
        <v>-10200</v>
      </c>
      <c r="K18" s="19">
        <f t="shared" ref="K18:K48" si="9">J18*128</f>
        <v>-1305600</v>
      </c>
    </row>
    <row r="19" spans="1:14" x14ac:dyDescent="0.35">
      <c r="A19" t="s">
        <v>85</v>
      </c>
      <c r="B19" s="1">
        <f>B18+3</f>
        <v>46048</v>
      </c>
      <c r="C19" s="19">
        <f t="shared" si="3"/>
        <v>600</v>
      </c>
      <c r="D19" s="19">
        <f t="shared" si="2"/>
        <v>150</v>
      </c>
      <c r="E19" s="22">
        <f t="shared" si="4"/>
        <v>750</v>
      </c>
      <c r="F19" s="24">
        <f t="shared" si="6"/>
        <v>10750</v>
      </c>
      <c r="G19" s="19"/>
      <c r="H19" s="19">
        <f>F19-$D$1-200</f>
        <v>550</v>
      </c>
      <c r="I19" s="19">
        <f t="shared" si="5"/>
        <v>70400</v>
      </c>
      <c r="J19" s="19">
        <f t="shared" si="8"/>
        <v>-10200</v>
      </c>
      <c r="K19" s="19">
        <f t="shared" si="9"/>
        <v>-1305600</v>
      </c>
    </row>
    <row r="20" spans="1:14" x14ac:dyDescent="0.35">
      <c r="A20" t="s">
        <v>86</v>
      </c>
      <c r="B20" s="1">
        <f>B19+1</f>
        <v>46049</v>
      </c>
      <c r="C20" s="19">
        <f t="shared" si="3"/>
        <v>750</v>
      </c>
      <c r="D20" s="19">
        <f t="shared" si="2"/>
        <v>150</v>
      </c>
      <c r="E20" s="22">
        <f t="shared" si="4"/>
        <v>900</v>
      </c>
      <c r="F20" s="24">
        <f t="shared" si="6"/>
        <v>10900</v>
      </c>
      <c r="G20" s="19"/>
      <c r="H20" s="19">
        <f t="shared" ref="H20:H23" si="10">F20-$D$1-200</f>
        <v>700</v>
      </c>
      <c r="I20" s="19">
        <f t="shared" si="5"/>
        <v>89600</v>
      </c>
      <c r="J20" s="19">
        <f t="shared" si="8"/>
        <v>-10200</v>
      </c>
      <c r="K20" s="19">
        <f t="shared" si="9"/>
        <v>-1305600</v>
      </c>
    </row>
    <row r="21" spans="1:14" x14ac:dyDescent="0.35">
      <c r="A21" t="s">
        <v>87</v>
      </c>
      <c r="B21" s="23">
        <f t="shared" si="1"/>
        <v>46050</v>
      </c>
      <c r="C21" s="24">
        <f t="shared" si="3"/>
        <v>900</v>
      </c>
      <c r="D21" s="24">
        <f t="shared" si="2"/>
        <v>150</v>
      </c>
      <c r="E21" s="24">
        <f>C21+D21</f>
        <v>1050</v>
      </c>
      <c r="F21" s="24">
        <f t="shared" si="6"/>
        <v>11050</v>
      </c>
      <c r="G21" s="19"/>
      <c r="H21" s="19">
        <f t="shared" si="10"/>
        <v>850</v>
      </c>
      <c r="I21" s="19">
        <f t="shared" si="5"/>
        <v>108800</v>
      </c>
      <c r="J21" s="19">
        <f t="shared" si="8"/>
        <v>-10200</v>
      </c>
      <c r="K21" s="19">
        <f t="shared" si="9"/>
        <v>-1305600</v>
      </c>
    </row>
    <row r="22" spans="1:14" x14ac:dyDescent="0.35">
      <c r="A22" t="s">
        <v>88</v>
      </c>
      <c r="B22" s="23">
        <f>B21+1</f>
        <v>46051</v>
      </c>
      <c r="C22" s="24">
        <f>E21</f>
        <v>1050</v>
      </c>
      <c r="D22" s="24">
        <f t="shared" si="2"/>
        <v>150</v>
      </c>
      <c r="E22" s="24">
        <f t="shared" si="4"/>
        <v>1200</v>
      </c>
      <c r="F22" s="24">
        <f t="shared" si="6"/>
        <v>11200</v>
      </c>
      <c r="G22" s="19"/>
      <c r="H22" s="19">
        <f t="shared" si="10"/>
        <v>1000</v>
      </c>
      <c r="I22" s="19">
        <f t="shared" si="5"/>
        <v>128000</v>
      </c>
      <c r="J22" s="19">
        <f t="shared" si="8"/>
        <v>-10200</v>
      </c>
      <c r="K22" s="19">
        <f t="shared" si="9"/>
        <v>-1305600</v>
      </c>
    </row>
    <row r="23" spans="1:14" ht="29" x14ac:dyDescent="0.35">
      <c r="A23" s="36" t="s">
        <v>117</v>
      </c>
      <c r="B23" s="1">
        <f t="shared" si="1"/>
        <v>46052</v>
      </c>
      <c r="C23" s="19">
        <f>E22</f>
        <v>1200</v>
      </c>
      <c r="D23" s="19">
        <f t="shared" si="2"/>
        <v>150</v>
      </c>
      <c r="E23" s="22">
        <f t="shared" si="4"/>
        <v>1350</v>
      </c>
      <c r="F23" s="24">
        <f t="shared" si="6"/>
        <v>11350</v>
      </c>
      <c r="G23" s="19"/>
      <c r="H23" s="19">
        <f t="shared" si="10"/>
        <v>1150</v>
      </c>
      <c r="I23" s="19">
        <f t="shared" si="5"/>
        <v>147200</v>
      </c>
      <c r="J23" s="19">
        <f t="shared" si="8"/>
        <v>-10200</v>
      </c>
      <c r="K23" s="19">
        <f t="shared" si="9"/>
        <v>-1305600</v>
      </c>
    </row>
    <row r="24" spans="1:14" x14ac:dyDescent="0.35">
      <c r="A24" s="40" t="s">
        <v>119</v>
      </c>
      <c r="B24" s="41" t="s">
        <v>120</v>
      </c>
      <c r="C24" s="40" t="s">
        <v>121</v>
      </c>
      <c r="D24" s="46" t="s">
        <v>125</v>
      </c>
      <c r="E24" s="46" t="s">
        <v>119</v>
      </c>
      <c r="F24" s="19"/>
      <c r="G24" s="19"/>
      <c r="H24" s="19"/>
      <c r="I24" s="19"/>
      <c r="J24" s="19"/>
      <c r="K24" s="19"/>
      <c r="M24">
        <v>10000</v>
      </c>
      <c r="N24">
        <v>150</v>
      </c>
    </row>
    <row r="25" spans="1:14" s="37" customFormat="1" x14ac:dyDescent="0.35">
      <c r="A25" s="37" t="s">
        <v>116</v>
      </c>
      <c r="B25" s="38">
        <f>B23+3</f>
        <v>46055</v>
      </c>
      <c r="C25" s="39">
        <v>0</v>
      </c>
      <c r="D25" s="39">
        <v>0</v>
      </c>
      <c r="E25" s="39">
        <v>0</v>
      </c>
      <c r="F25" s="39">
        <v>0</v>
      </c>
      <c r="G25" s="39"/>
      <c r="H25" s="39" t="s">
        <v>123</v>
      </c>
      <c r="I25" s="39" t="e">
        <f t="shared" si="5"/>
        <v>#VALUE!</v>
      </c>
      <c r="J25" s="39"/>
      <c r="K25" s="39">
        <f t="shared" si="9"/>
        <v>0</v>
      </c>
      <c r="M25" s="37">
        <v>35000</v>
      </c>
      <c r="N25" s="37">
        <f>(M25*N24)/M24</f>
        <v>525</v>
      </c>
    </row>
    <row r="26" spans="1:14" s="37" customFormat="1" x14ac:dyDescent="0.35">
      <c r="A26" s="37" t="s">
        <v>118</v>
      </c>
      <c r="B26" s="38">
        <f>B25+1</f>
        <v>46056</v>
      </c>
      <c r="C26" s="39">
        <f t="shared" ref="C26:C67" si="11">E25</f>
        <v>0</v>
      </c>
      <c r="D26" s="39">
        <v>0</v>
      </c>
      <c r="E26" s="39">
        <f t="shared" ref="E26" si="12">C26+D26</f>
        <v>0</v>
      </c>
      <c r="F26" s="39">
        <f t="shared" si="0"/>
        <v>0</v>
      </c>
      <c r="G26" s="39"/>
      <c r="H26" s="39">
        <v>0</v>
      </c>
      <c r="I26" s="39">
        <f t="shared" si="5"/>
        <v>0</v>
      </c>
      <c r="J26" s="39"/>
      <c r="K26" s="39">
        <f t="shared" si="9"/>
        <v>0</v>
      </c>
    </row>
    <row r="27" spans="1:14" x14ac:dyDescent="0.35">
      <c r="A27" t="s">
        <v>75</v>
      </c>
      <c r="B27" s="23">
        <f t="shared" ref="B27:B67" si="13">B26+1</f>
        <v>46057</v>
      </c>
      <c r="C27" s="19">
        <f t="shared" si="11"/>
        <v>0</v>
      </c>
      <c r="D27" s="19">
        <f>N25</f>
        <v>525</v>
      </c>
      <c r="E27" s="22">
        <f>C27+D27-150</f>
        <v>375</v>
      </c>
      <c r="F27" s="19">
        <f>F26+D27+D1</f>
        <v>10525</v>
      </c>
      <c r="G27" s="19"/>
      <c r="H27" s="19">
        <v>150</v>
      </c>
      <c r="I27" s="19"/>
      <c r="J27" s="19"/>
      <c r="K27" s="19"/>
    </row>
    <row r="28" spans="1:14" x14ac:dyDescent="0.35">
      <c r="A28" t="s">
        <v>76</v>
      </c>
      <c r="B28" s="23">
        <f t="shared" si="13"/>
        <v>46058</v>
      </c>
      <c r="C28" s="19">
        <f t="shared" si="11"/>
        <v>375</v>
      </c>
      <c r="D28" s="19">
        <f t="shared" ref="D28:D67" si="14">D27</f>
        <v>525</v>
      </c>
      <c r="E28" s="22">
        <f t="shared" ref="E28:E38" si="15">C28+D28-150</f>
        <v>750</v>
      </c>
      <c r="F28" s="19">
        <f t="shared" si="0"/>
        <v>11050</v>
      </c>
      <c r="G28" s="19"/>
      <c r="H28" s="19">
        <f>H27+150</f>
        <v>300</v>
      </c>
      <c r="I28" s="19"/>
      <c r="J28" s="19"/>
      <c r="K28" s="19"/>
    </row>
    <row r="29" spans="1:14" x14ac:dyDescent="0.35">
      <c r="A29" t="s">
        <v>77</v>
      </c>
      <c r="B29" s="23">
        <f t="shared" si="13"/>
        <v>46059</v>
      </c>
      <c r="C29" s="19">
        <f t="shared" si="11"/>
        <v>750</v>
      </c>
      <c r="D29" s="19">
        <f t="shared" si="14"/>
        <v>525</v>
      </c>
      <c r="E29" s="22">
        <f t="shared" si="15"/>
        <v>1125</v>
      </c>
      <c r="F29" s="19">
        <f t="shared" si="0"/>
        <v>11575</v>
      </c>
      <c r="G29" s="19"/>
      <c r="H29" s="19">
        <f t="shared" ref="H29:H33" si="16">H28+150</f>
        <v>450</v>
      </c>
      <c r="I29" s="19"/>
      <c r="J29" s="19"/>
      <c r="K29" s="19"/>
    </row>
    <row r="30" spans="1:14" x14ac:dyDescent="0.35">
      <c r="A30" t="s">
        <v>78</v>
      </c>
      <c r="B30" s="23">
        <f>B29+3</f>
        <v>46062</v>
      </c>
      <c r="C30" s="19">
        <f t="shared" si="11"/>
        <v>1125</v>
      </c>
      <c r="D30" s="19">
        <f t="shared" si="14"/>
        <v>525</v>
      </c>
      <c r="E30" s="22">
        <f t="shared" si="15"/>
        <v>1500</v>
      </c>
      <c r="F30" s="19">
        <f t="shared" si="0"/>
        <v>12100</v>
      </c>
      <c r="G30" s="19"/>
      <c r="H30" s="19">
        <f t="shared" si="16"/>
        <v>600</v>
      </c>
      <c r="I30" s="19"/>
      <c r="J30" s="19"/>
      <c r="K30" s="19"/>
    </row>
    <row r="31" spans="1:14" x14ac:dyDescent="0.35">
      <c r="A31" t="s">
        <v>79</v>
      </c>
      <c r="B31" s="23">
        <f t="shared" si="13"/>
        <v>46063</v>
      </c>
      <c r="C31" s="19">
        <f t="shared" si="11"/>
        <v>1500</v>
      </c>
      <c r="D31" s="19">
        <f t="shared" si="14"/>
        <v>525</v>
      </c>
      <c r="E31" s="22">
        <f t="shared" si="15"/>
        <v>1875</v>
      </c>
      <c r="F31" s="19">
        <f t="shared" si="0"/>
        <v>12625</v>
      </c>
      <c r="G31" s="19"/>
      <c r="H31" s="19">
        <f t="shared" si="16"/>
        <v>750</v>
      </c>
      <c r="I31" s="19"/>
      <c r="J31" s="19"/>
      <c r="K31" s="19"/>
    </row>
    <row r="32" spans="1:14" x14ac:dyDescent="0.35">
      <c r="A32" t="s">
        <v>80</v>
      </c>
      <c r="B32" s="1">
        <f t="shared" si="13"/>
        <v>46064</v>
      </c>
      <c r="C32" s="19">
        <f t="shared" si="11"/>
        <v>1875</v>
      </c>
      <c r="D32" s="19">
        <f t="shared" si="14"/>
        <v>525</v>
      </c>
      <c r="E32" s="22">
        <f t="shared" si="15"/>
        <v>2250</v>
      </c>
      <c r="F32" s="19">
        <f t="shared" si="0"/>
        <v>13150</v>
      </c>
      <c r="G32" s="19"/>
      <c r="H32" s="19">
        <f t="shared" si="16"/>
        <v>900</v>
      </c>
      <c r="I32" s="19"/>
      <c r="J32" s="19"/>
      <c r="K32" s="19"/>
    </row>
    <row r="33" spans="1:13" s="47" customFormat="1" x14ac:dyDescent="0.35">
      <c r="A33" s="45" t="s">
        <v>81</v>
      </c>
      <c r="B33" s="27">
        <f t="shared" si="13"/>
        <v>46065</v>
      </c>
      <c r="C33" s="28">
        <f t="shared" si="11"/>
        <v>2250</v>
      </c>
      <c r="D33" s="28">
        <f t="shared" si="14"/>
        <v>525</v>
      </c>
      <c r="E33" s="28">
        <f t="shared" si="15"/>
        <v>2625</v>
      </c>
      <c r="F33" s="28">
        <f t="shared" si="0"/>
        <v>13675</v>
      </c>
      <c r="G33" s="28"/>
      <c r="H33" s="28">
        <f t="shared" si="16"/>
        <v>1050</v>
      </c>
      <c r="I33" s="28"/>
      <c r="J33" s="28"/>
      <c r="K33" s="28"/>
    </row>
    <row r="34" spans="1:13" s="12" customFormat="1" x14ac:dyDescent="0.35">
      <c r="A34" t="s">
        <v>70</v>
      </c>
      <c r="B34" s="23">
        <f t="shared" si="13"/>
        <v>46066</v>
      </c>
      <c r="C34" s="24">
        <v>0</v>
      </c>
      <c r="D34" s="24">
        <f t="shared" si="14"/>
        <v>525</v>
      </c>
      <c r="E34" s="22">
        <f t="shared" si="15"/>
        <v>375</v>
      </c>
      <c r="F34" s="24">
        <f>F33+D34</f>
        <v>14200</v>
      </c>
      <c r="G34" s="24"/>
      <c r="H34" s="19">
        <f>H33+150</f>
        <v>1200</v>
      </c>
      <c r="I34" s="24"/>
      <c r="J34" s="24"/>
      <c r="K34" s="24"/>
    </row>
    <row r="35" spans="1:13" x14ac:dyDescent="0.35">
      <c r="A35" s="12" t="s">
        <v>71</v>
      </c>
      <c r="B35" s="1">
        <f>B34+3</f>
        <v>46069</v>
      </c>
      <c r="C35" s="19">
        <f>E34</f>
        <v>375</v>
      </c>
      <c r="D35" s="19">
        <f t="shared" si="14"/>
        <v>525</v>
      </c>
      <c r="E35" s="22">
        <f>E34+E34</f>
        <v>750</v>
      </c>
      <c r="F35" s="19">
        <f>D35+D1</f>
        <v>10525</v>
      </c>
      <c r="G35" s="19"/>
      <c r="H35" s="19">
        <f t="shared" ref="H35:H36" si="17">H34+150</f>
        <v>1350</v>
      </c>
      <c r="I35" s="19"/>
      <c r="J35" s="19"/>
      <c r="K35" s="19"/>
    </row>
    <row r="36" spans="1:13" x14ac:dyDescent="0.35">
      <c r="A36" t="s">
        <v>72</v>
      </c>
      <c r="B36" s="1">
        <f t="shared" si="13"/>
        <v>46070</v>
      </c>
      <c r="C36" s="19">
        <f t="shared" si="11"/>
        <v>750</v>
      </c>
      <c r="D36" s="19">
        <f t="shared" si="14"/>
        <v>525</v>
      </c>
      <c r="E36" s="22">
        <f t="shared" si="15"/>
        <v>1125</v>
      </c>
      <c r="F36" s="19">
        <f t="shared" si="0"/>
        <v>11050</v>
      </c>
      <c r="G36" s="19"/>
      <c r="H36" s="19">
        <f t="shared" si="17"/>
        <v>1500</v>
      </c>
      <c r="I36" s="19"/>
      <c r="J36" s="19"/>
      <c r="K36" s="19"/>
    </row>
    <row r="37" spans="1:13" s="45" customFormat="1" x14ac:dyDescent="0.35">
      <c r="A37" s="45" t="s">
        <v>73</v>
      </c>
      <c r="B37" s="25">
        <f t="shared" si="13"/>
        <v>46071</v>
      </c>
      <c r="C37" s="26">
        <f t="shared" si="11"/>
        <v>1125</v>
      </c>
      <c r="D37" s="26">
        <f t="shared" si="14"/>
        <v>525</v>
      </c>
      <c r="E37" s="26">
        <f t="shared" si="15"/>
        <v>1500</v>
      </c>
      <c r="F37" s="26">
        <f t="shared" si="0"/>
        <v>11575</v>
      </c>
      <c r="G37" s="26"/>
      <c r="H37" s="19">
        <f>H36+150</f>
        <v>1650</v>
      </c>
      <c r="I37" s="26"/>
      <c r="J37" s="26"/>
      <c r="K37" s="26"/>
    </row>
    <row r="38" spans="1:13" s="42" customFormat="1" x14ac:dyDescent="0.35">
      <c r="A38" s="42" t="s">
        <v>115</v>
      </c>
      <c r="B38" s="43">
        <f t="shared" si="13"/>
        <v>46072</v>
      </c>
      <c r="C38" s="44">
        <f t="shared" si="11"/>
        <v>1500</v>
      </c>
      <c r="D38" s="44">
        <f t="shared" si="14"/>
        <v>525</v>
      </c>
      <c r="E38" s="44">
        <f t="shared" si="15"/>
        <v>1875</v>
      </c>
      <c r="F38" s="44">
        <f t="shared" si="0"/>
        <v>12100</v>
      </c>
      <c r="G38" s="44"/>
      <c r="H38" s="19">
        <f>H37+150</f>
        <v>1800</v>
      </c>
      <c r="I38" s="44">
        <f t="shared" si="5"/>
        <v>230400</v>
      </c>
      <c r="J38" s="44"/>
      <c r="K38" s="44"/>
    </row>
    <row r="39" spans="1:13" x14ac:dyDescent="0.35">
      <c r="A39" t="s">
        <v>89</v>
      </c>
      <c r="B39" s="1">
        <f t="shared" si="13"/>
        <v>46073</v>
      </c>
      <c r="C39" s="19">
        <v>0</v>
      </c>
      <c r="D39" s="19">
        <f t="shared" si="14"/>
        <v>525</v>
      </c>
      <c r="E39" s="22">
        <f>D39</f>
        <v>525</v>
      </c>
      <c r="F39" s="19">
        <f>D1+D39</f>
        <v>10525</v>
      </c>
      <c r="G39" s="19"/>
      <c r="H39" s="19">
        <f>D39+H38</f>
        <v>2325</v>
      </c>
      <c r="I39" s="19">
        <f>H39*128</f>
        <v>297600</v>
      </c>
      <c r="J39" s="19">
        <f>G39-10000-200</f>
        <v>-10200</v>
      </c>
      <c r="K39" s="19">
        <f t="shared" si="9"/>
        <v>-1305600</v>
      </c>
    </row>
    <row r="40" spans="1:13" x14ac:dyDescent="0.35">
      <c r="A40" t="s">
        <v>90</v>
      </c>
      <c r="B40" s="1">
        <f>B39+3</f>
        <v>46076</v>
      </c>
      <c r="C40" s="19">
        <f t="shared" si="11"/>
        <v>525</v>
      </c>
      <c r="D40" s="19">
        <f>D39</f>
        <v>525</v>
      </c>
      <c r="E40" s="22">
        <f>C40+D40</f>
        <v>1050</v>
      </c>
      <c r="F40" s="19">
        <f t="shared" si="0"/>
        <v>11050</v>
      </c>
      <c r="G40" s="19"/>
      <c r="H40" s="19">
        <f>H39+D40</f>
        <v>2850</v>
      </c>
      <c r="I40" s="19">
        <f t="shared" si="5"/>
        <v>364800</v>
      </c>
      <c r="J40" s="19">
        <f>G40-10000-200</f>
        <v>-10200</v>
      </c>
      <c r="K40" s="19">
        <f t="shared" si="9"/>
        <v>-1305600</v>
      </c>
    </row>
    <row r="41" spans="1:13" x14ac:dyDescent="0.35">
      <c r="A41" t="s">
        <v>91</v>
      </c>
      <c r="B41" s="1">
        <f t="shared" si="13"/>
        <v>46077</v>
      </c>
      <c r="C41" s="19">
        <f t="shared" si="11"/>
        <v>1050</v>
      </c>
      <c r="D41" s="19">
        <f t="shared" si="14"/>
        <v>525</v>
      </c>
      <c r="E41" s="22">
        <f>C41+D41</f>
        <v>1575</v>
      </c>
      <c r="F41" s="19">
        <f t="shared" si="0"/>
        <v>11575</v>
      </c>
      <c r="G41" s="19"/>
      <c r="H41" s="19">
        <f>H40+D41</f>
        <v>3375</v>
      </c>
      <c r="I41" s="19">
        <f t="shared" si="5"/>
        <v>432000</v>
      </c>
      <c r="J41" s="19">
        <f>G41-10000-200</f>
        <v>-10200</v>
      </c>
      <c r="K41" s="19">
        <f t="shared" si="9"/>
        <v>-1305600</v>
      </c>
    </row>
    <row r="42" spans="1:13" x14ac:dyDescent="0.35">
      <c r="A42" t="s">
        <v>92</v>
      </c>
      <c r="B42" s="1">
        <f t="shared" si="13"/>
        <v>46078</v>
      </c>
      <c r="C42" s="19">
        <f t="shared" si="11"/>
        <v>1575</v>
      </c>
      <c r="D42" s="19">
        <f t="shared" si="14"/>
        <v>525</v>
      </c>
      <c r="E42" s="22">
        <f>C42+D42</f>
        <v>2100</v>
      </c>
      <c r="F42" s="19">
        <f t="shared" si="0"/>
        <v>12100</v>
      </c>
      <c r="G42" s="19"/>
      <c r="H42" s="19">
        <f>H41+D42</f>
        <v>3900</v>
      </c>
      <c r="I42" s="19">
        <f t="shared" si="5"/>
        <v>499200</v>
      </c>
      <c r="J42" s="19">
        <f>G42-10000-200</f>
        <v>-10200</v>
      </c>
      <c r="K42" s="19">
        <f t="shared" si="9"/>
        <v>-1305600</v>
      </c>
    </row>
    <row r="43" spans="1:13" x14ac:dyDescent="0.35">
      <c r="A43" t="s">
        <v>93</v>
      </c>
      <c r="B43" s="1">
        <f t="shared" si="13"/>
        <v>46079</v>
      </c>
      <c r="C43" s="19">
        <f t="shared" si="11"/>
        <v>2100</v>
      </c>
      <c r="D43" s="19">
        <f t="shared" si="14"/>
        <v>525</v>
      </c>
      <c r="E43" s="22">
        <f>C43+D43</f>
        <v>2625</v>
      </c>
      <c r="F43" s="19">
        <f>F42+D43</f>
        <v>12625</v>
      </c>
      <c r="G43" s="19"/>
      <c r="H43" s="19">
        <f>H42+D43</f>
        <v>4425</v>
      </c>
      <c r="I43" s="19">
        <f>H43*128</f>
        <v>566400</v>
      </c>
      <c r="J43" s="19">
        <f>G43-10000-200</f>
        <v>-10200</v>
      </c>
      <c r="K43" s="19">
        <f t="shared" si="9"/>
        <v>-1305600</v>
      </c>
    </row>
    <row r="44" spans="1:13" x14ac:dyDescent="0.35">
      <c r="A44" s="40" t="s">
        <v>119</v>
      </c>
      <c r="B44" s="41" t="s">
        <v>120</v>
      </c>
      <c r="C44" s="40" t="s">
        <v>121</v>
      </c>
      <c r="D44" s="41" t="s">
        <v>120</v>
      </c>
      <c r="E44" s="40" t="s">
        <v>122</v>
      </c>
      <c r="F44" s="46" t="s">
        <v>125</v>
      </c>
      <c r="G44" s="46" t="s">
        <v>121</v>
      </c>
      <c r="H44" s="19"/>
      <c r="I44" s="19"/>
      <c r="J44" s="19"/>
      <c r="K44" s="19"/>
    </row>
    <row r="45" spans="1:13" x14ac:dyDescent="0.35">
      <c r="A45" s="37" t="s">
        <v>116</v>
      </c>
      <c r="B45" s="38">
        <f>B43+3</f>
        <v>46082</v>
      </c>
      <c r="C45" s="39">
        <v>0</v>
      </c>
      <c r="D45" s="39">
        <v>0</v>
      </c>
      <c r="E45" s="22">
        <v>0</v>
      </c>
      <c r="F45" s="39">
        <v>0</v>
      </c>
      <c r="G45" s="39"/>
      <c r="H45" s="39" t="s">
        <v>124</v>
      </c>
      <c r="I45" s="39"/>
      <c r="J45" s="39"/>
      <c r="K45" s="39">
        <f t="shared" si="9"/>
        <v>0</v>
      </c>
    </row>
    <row r="46" spans="1:13" x14ac:dyDescent="0.35">
      <c r="A46" s="37" t="s">
        <v>118</v>
      </c>
      <c r="B46" s="38">
        <f>B45+1</f>
        <v>46083</v>
      </c>
      <c r="C46" s="39">
        <v>0</v>
      </c>
      <c r="D46" s="39">
        <v>0</v>
      </c>
      <c r="E46" s="22">
        <v>0</v>
      </c>
      <c r="F46" s="39">
        <f t="shared" ref="F46" si="18">F45+D46</f>
        <v>0</v>
      </c>
      <c r="G46" s="39"/>
      <c r="H46" s="39">
        <v>0</v>
      </c>
      <c r="I46" s="39">
        <f t="shared" si="5"/>
        <v>0</v>
      </c>
      <c r="J46" s="39"/>
      <c r="K46" s="39">
        <f t="shared" si="9"/>
        <v>0</v>
      </c>
    </row>
    <row r="47" spans="1:13" x14ac:dyDescent="0.35">
      <c r="A47" t="s">
        <v>74</v>
      </c>
      <c r="B47" s="1">
        <f t="shared" si="13"/>
        <v>46084</v>
      </c>
      <c r="C47" s="20">
        <f t="shared" si="11"/>
        <v>0</v>
      </c>
      <c r="D47" s="19">
        <f>M48</f>
        <v>535.71428571428567</v>
      </c>
      <c r="E47" s="22">
        <f>C47+D47</f>
        <v>535.71428571428567</v>
      </c>
      <c r="F47" s="19">
        <f>F46+D47+L48</f>
        <v>50535.714285714283</v>
      </c>
      <c r="G47" s="19"/>
      <c r="H47" s="19">
        <f>D38</f>
        <v>525</v>
      </c>
      <c r="I47" s="19"/>
      <c r="J47" s="19"/>
      <c r="K47" s="19"/>
      <c r="L47">
        <v>35000</v>
      </c>
      <c r="M47">
        <v>375</v>
      </c>
    </row>
    <row r="48" spans="1:13" x14ac:dyDescent="0.35">
      <c r="A48" t="s">
        <v>75</v>
      </c>
      <c r="B48" s="1">
        <f t="shared" si="13"/>
        <v>46085</v>
      </c>
      <c r="C48" s="19">
        <f t="shared" si="11"/>
        <v>535.71428571428567</v>
      </c>
      <c r="D48" s="19">
        <f t="shared" si="14"/>
        <v>535.71428571428567</v>
      </c>
      <c r="E48" s="22">
        <f t="shared" ref="E48:E67" si="19">C48+D48</f>
        <v>1071.4285714285713</v>
      </c>
      <c r="F48" s="19">
        <f t="shared" ref="F48:F67" si="20">F47+D48</f>
        <v>51071.428571428565</v>
      </c>
      <c r="G48" s="19"/>
      <c r="H48" s="19">
        <f>H47+525</f>
        <v>1050</v>
      </c>
      <c r="I48" s="19">
        <f t="shared" si="5"/>
        <v>134400</v>
      </c>
      <c r="J48" s="19">
        <f>G48-10000-200</f>
        <v>-10200</v>
      </c>
      <c r="K48" s="19">
        <f t="shared" si="9"/>
        <v>-1305600</v>
      </c>
      <c r="L48">
        <v>50000</v>
      </c>
      <c r="M48">
        <f>(M47*L48)/L47</f>
        <v>535.71428571428567</v>
      </c>
    </row>
    <row r="49" spans="1:13" x14ac:dyDescent="0.35">
      <c r="A49" t="s">
        <v>76</v>
      </c>
      <c r="B49" s="1">
        <f t="shared" si="13"/>
        <v>46086</v>
      </c>
      <c r="C49" s="19">
        <f t="shared" si="11"/>
        <v>1071.4285714285713</v>
      </c>
      <c r="D49" s="19">
        <f t="shared" si="14"/>
        <v>535.71428571428567</v>
      </c>
      <c r="E49" s="22">
        <f t="shared" si="19"/>
        <v>1607.1428571428569</v>
      </c>
      <c r="F49" s="19">
        <f t="shared" si="20"/>
        <v>51607.142857142848</v>
      </c>
      <c r="H49" s="19">
        <f>H48+525</f>
        <v>1575</v>
      </c>
      <c r="I49" s="19">
        <f t="shared" si="5"/>
        <v>201600</v>
      </c>
      <c r="L49" s="10">
        <v>0.08</v>
      </c>
      <c r="M49">
        <f>L48*L49</f>
        <v>4000</v>
      </c>
    </row>
    <row r="50" spans="1:13" x14ac:dyDescent="0.35">
      <c r="A50" t="s">
        <v>77</v>
      </c>
      <c r="B50" s="1">
        <f>B49+3</f>
        <v>46089</v>
      </c>
      <c r="C50" s="19">
        <f t="shared" si="11"/>
        <v>1607.1428571428569</v>
      </c>
      <c r="D50" s="19">
        <f t="shared" si="14"/>
        <v>535.71428571428567</v>
      </c>
      <c r="E50" s="22">
        <f t="shared" si="19"/>
        <v>2142.8571428571427</v>
      </c>
      <c r="F50" s="19">
        <f t="shared" si="20"/>
        <v>52142.85714285713</v>
      </c>
      <c r="H50" s="19">
        <f t="shared" ref="H50:H56" si="21">H49+525</f>
        <v>2100</v>
      </c>
      <c r="I50" s="19">
        <f t="shared" si="5"/>
        <v>268800</v>
      </c>
      <c r="L50" s="10">
        <v>0.04</v>
      </c>
      <c r="M50">
        <f>L50*L48</f>
        <v>2000</v>
      </c>
    </row>
    <row r="51" spans="1:13" x14ac:dyDescent="0.35">
      <c r="A51" t="s">
        <v>78</v>
      </c>
      <c r="B51" s="1">
        <f t="shared" si="13"/>
        <v>46090</v>
      </c>
      <c r="C51" s="19">
        <f t="shared" si="11"/>
        <v>2142.8571428571427</v>
      </c>
      <c r="D51" s="19">
        <f t="shared" si="14"/>
        <v>535.71428571428567</v>
      </c>
      <c r="E51" s="22">
        <f t="shared" si="19"/>
        <v>2678.5714285714284</v>
      </c>
      <c r="F51" s="19">
        <f t="shared" si="20"/>
        <v>52678.571428571413</v>
      </c>
      <c r="H51" s="19">
        <f t="shared" si="21"/>
        <v>2625</v>
      </c>
      <c r="I51" s="19">
        <f t="shared" si="5"/>
        <v>336000</v>
      </c>
    </row>
    <row r="52" spans="1:13" x14ac:dyDescent="0.35">
      <c r="A52" t="s">
        <v>79</v>
      </c>
      <c r="B52" s="1">
        <f t="shared" si="13"/>
        <v>46091</v>
      </c>
      <c r="C52" s="19">
        <f t="shared" si="11"/>
        <v>2678.5714285714284</v>
      </c>
      <c r="D52" s="19">
        <f t="shared" si="14"/>
        <v>535.71428571428567</v>
      </c>
      <c r="E52" s="22">
        <f t="shared" si="19"/>
        <v>3214.2857142857142</v>
      </c>
      <c r="F52" s="19">
        <f t="shared" si="20"/>
        <v>53214.285714285696</v>
      </c>
      <c r="H52" s="19">
        <f t="shared" si="21"/>
        <v>3150</v>
      </c>
      <c r="I52" s="19">
        <f t="shared" si="5"/>
        <v>403200</v>
      </c>
    </row>
    <row r="53" spans="1:13" x14ac:dyDescent="0.35">
      <c r="A53" t="s">
        <v>80</v>
      </c>
      <c r="B53" s="1">
        <f t="shared" si="13"/>
        <v>46092</v>
      </c>
      <c r="C53" s="19">
        <f t="shared" si="11"/>
        <v>3214.2857142857142</v>
      </c>
      <c r="D53" s="19">
        <f t="shared" si="14"/>
        <v>535.71428571428567</v>
      </c>
      <c r="E53" s="22">
        <f t="shared" si="19"/>
        <v>3750</v>
      </c>
      <c r="F53" s="19">
        <f t="shared" si="20"/>
        <v>53749.999999999978</v>
      </c>
      <c r="H53" s="19">
        <f t="shared" si="21"/>
        <v>3675</v>
      </c>
      <c r="I53" s="19">
        <f t="shared" si="5"/>
        <v>470400</v>
      </c>
    </row>
    <row r="54" spans="1:13" s="45" customFormat="1" x14ac:dyDescent="0.35">
      <c r="A54" s="45" t="s">
        <v>81</v>
      </c>
      <c r="B54" s="25">
        <f t="shared" si="13"/>
        <v>46093</v>
      </c>
      <c r="C54" s="26">
        <f t="shared" si="11"/>
        <v>3750</v>
      </c>
      <c r="D54" s="26">
        <f t="shared" si="14"/>
        <v>535.71428571428567</v>
      </c>
      <c r="E54" s="26">
        <f t="shared" si="19"/>
        <v>4285.7142857142853</v>
      </c>
      <c r="F54" s="26">
        <f t="shared" si="20"/>
        <v>54285.714285714261</v>
      </c>
      <c r="H54" s="26">
        <f t="shared" si="21"/>
        <v>4200</v>
      </c>
      <c r="I54" s="26">
        <f t="shared" si="5"/>
        <v>537600</v>
      </c>
    </row>
    <row r="55" spans="1:13" x14ac:dyDescent="0.35">
      <c r="A55" s="12" t="s">
        <v>70</v>
      </c>
      <c r="B55" s="1">
        <f>B54+3</f>
        <v>46096</v>
      </c>
      <c r="C55" s="20">
        <v>0</v>
      </c>
      <c r="D55" s="19">
        <f t="shared" si="14"/>
        <v>535.71428571428567</v>
      </c>
      <c r="E55" s="22">
        <f t="shared" si="19"/>
        <v>535.71428571428567</v>
      </c>
      <c r="F55" s="19">
        <f t="shared" si="20"/>
        <v>54821.428571428543</v>
      </c>
      <c r="H55" s="19">
        <f t="shared" si="21"/>
        <v>4725</v>
      </c>
      <c r="I55" s="19">
        <f t="shared" si="5"/>
        <v>604800</v>
      </c>
    </row>
    <row r="56" spans="1:13" x14ac:dyDescent="0.35">
      <c r="A56" t="s">
        <v>71</v>
      </c>
      <c r="B56" s="1">
        <f t="shared" si="13"/>
        <v>46097</v>
      </c>
      <c r="C56" s="19">
        <f t="shared" si="11"/>
        <v>535.71428571428567</v>
      </c>
      <c r="D56" s="19">
        <f t="shared" si="14"/>
        <v>535.71428571428567</v>
      </c>
      <c r="E56" s="22">
        <f t="shared" si="19"/>
        <v>1071.4285714285713</v>
      </c>
      <c r="F56" s="19">
        <f t="shared" si="20"/>
        <v>55357.142857142826</v>
      </c>
      <c r="H56" s="19">
        <f t="shared" si="21"/>
        <v>5250</v>
      </c>
      <c r="I56" s="19">
        <f t="shared" si="5"/>
        <v>672000</v>
      </c>
    </row>
    <row r="57" spans="1:13" x14ac:dyDescent="0.35">
      <c r="A57" s="12" t="s">
        <v>72</v>
      </c>
      <c r="B57" s="1">
        <f t="shared" si="13"/>
        <v>46098</v>
      </c>
      <c r="C57" s="19">
        <f t="shared" si="11"/>
        <v>1071.4285714285713</v>
      </c>
      <c r="D57" s="19">
        <f t="shared" si="14"/>
        <v>535.71428571428567</v>
      </c>
      <c r="E57" s="22">
        <f>C57+D57</f>
        <v>1607.1428571428569</v>
      </c>
      <c r="F57" s="19">
        <f t="shared" si="20"/>
        <v>55892.857142857109</v>
      </c>
      <c r="H57" s="19">
        <f>H56+525</f>
        <v>5775</v>
      </c>
      <c r="I57" s="19">
        <f t="shared" si="5"/>
        <v>739200</v>
      </c>
    </row>
    <row r="58" spans="1:13" s="45" customFormat="1" x14ac:dyDescent="0.35">
      <c r="A58" s="45" t="s">
        <v>73</v>
      </c>
      <c r="B58" s="25">
        <f t="shared" si="13"/>
        <v>46099</v>
      </c>
      <c r="C58" s="26">
        <f t="shared" si="11"/>
        <v>1607.1428571428569</v>
      </c>
      <c r="D58" s="26">
        <f>D57</f>
        <v>535.71428571428567</v>
      </c>
      <c r="E58" s="26">
        <f>C58+D58</f>
        <v>2142.8571428571427</v>
      </c>
      <c r="F58" s="26">
        <f t="shared" si="20"/>
        <v>56428.571428571391</v>
      </c>
      <c r="H58" s="26">
        <f>H57+525</f>
        <v>6300</v>
      </c>
      <c r="I58" s="26">
        <f t="shared" si="5"/>
        <v>806400</v>
      </c>
    </row>
    <row r="59" spans="1:13" s="48" customFormat="1" x14ac:dyDescent="0.35">
      <c r="A59" s="48" t="s">
        <v>115</v>
      </c>
      <c r="B59" s="31">
        <f t="shared" si="13"/>
        <v>46100</v>
      </c>
      <c r="C59" s="32">
        <v>0</v>
      </c>
      <c r="D59" s="32"/>
      <c r="E59" s="32">
        <f t="shared" si="19"/>
        <v>0</v>
      </c>
      <c r="F59" s="32">
        <f t="shared" si="20"/>
        <v>56428.571428571391</v>
      </c>
      <c r="H59" s="19">
        <f>H58+525</f>
        <v>6825</v>
      </c>
      <c r="I59" s="32">
        <f t="shared" si="5"/>
        <v>873600</v>
      </c>
    </row>
    <row r="60" spans="1:13" x14ac:dyDescent="0.35">
      <c r="A60" t="s">
        <v>92</v>
      </c>
      <c r="B60" s="1">
        <f>B59+3</f>
        <v>46103</v>
      </c>
      <c r="C60" s="19">
        <f t="shared" si="11"/>
        <v>0</v>
      </c>
      <c r="D60" s="19">
        <f>D58</f>
        <v>535.71428571428567</v>
      </c>
      <c r="E60" s="22">
        <f t="shared" si="19"/>
        <v>535.71428571428567</v>
      </c>
      <c r="F60" s="19">
        <f>F59+D60</f>
        <v>56964.285714285674</v>
      </c>
      <c r="H60" s="19">
        <f t="shared" ref="H60:H67" si="22">H59+D60</f>
        <v>7360.7142857142853</v>
      </c>
      <c r="I60" s="19">
        <f t="shared" si="5"/>
        <v>942171.42857142852</v>
      </c>
    </row>
    <row r="61" spans="1:13" x14ac:dyDescent="0.35">
      <c r="A61" t="s">
        <v>93</v>
      </c>
      <c r="B61" s="1">
        <f t="shared" si="13"/>
        <v>46104</v>
      </c>
      <c r="C61" s="19">
        <f t="shared" si="11"/>
        <v>535.71428571428567</v>
      </c>
      <c r="D61" s="19">
        <f t="shared" si="14"/>
        <v>535.71428571428567</v>
      </c>
      <c r="E61" s="22">
        <f t="shared" si="19"/>
        <v>1071.4285714285713</v>
      </c>
      <c r="F61" s="19">
        <f t="shared" si="20"/>
        <v>57499.999999999956</v>
      </c>
      <c r="H61" s="19">
        <f t="shared" si="22"/>
        <v>7896.4285714285706</v>
      </c>
      <c r="I61" s="19">
        <f t="shared" si="5"/>
        <v>1010742.857142857</v>
      </c>
    </row>
    <row r="62" spans="1:13" x14ac:dyDescent="0.35">
      <c r="A62" t="s">
        <v>94</v>
      </c>
      <c r="B62" s="1">
        <f t="shared" si="13"/>
        <v>46105</v>
      </c>
      <c r="C62" s="19">
        <f t="shared" si="11"/>
        <v>1071.4285714285713</v>
      </c>
      <c r="D62" s="19">
        <f t="shared" si="14"/>
        <v>535.71428571428567</v>
      </c>
      <c r="E62" s="22">
        <f t="shared" si="19"/>
        <v>1607.1428571428569</v>
      </c>
      <c r="F62" s="19">
        <f t="shared" si="20"/>
        <v>58035.714285714239</v>
      </c>
      <c r="H62" s="19">
        <f t="shared" si="22"/>
        <v>8432.1428571428569</v>
      </c>
      <c r="I62" s="19">
        <f t="shared" si="5"/>
        <v>1079314.2857142857</v>
      </c>
    </row>
    <row r="63" spans="1:13" x14ac:dyDescent="0.35">
      <c r="A63" t="s">
        <v>95</v>
      </c>
      <c r="B63" s="1">
        <f t="shared" si="13"/>
        <v>46106</v>
      </c>
      <c r="C63" s="19">
        <f t="shared" si="11"/>
        <v>1607.1428571428569</v>
      </c>
      <c r="D63" s="19">
        <f t="shared" si="14"/>
        <v>535.71428571428567</v>
      </c>
      <c r="E63" s="22">
        <f t="shared" si="19"/>
        <v>2142.8571428571427</v>
      </c>
      <c r="F63" s="19">
        <f t="shared" si="20"/>
        <v>58571.428571428522</v>
      </c>
      <c r="H63" s="19">
        <f t="shared" si="22"/>
        <v>8967.8571428571431</v>
      </c>
      <c r="I63" s="19">
        <f t="shared" si="5"/>
        <v>1147885.7142857143</v>
      </c>
    </row>
    <row r="64" spans="1:13" x14ac:dyDescent="0.35">
      <c r="A64" t="s">
        <v>96</v>
      </c>
      <c r="B64" s="1">
        <f t="shared" si="13"/>
        <v>46107</v>
      </c>
      <c r="C64" s="19">
        <f t="shared" si="11"/>
        <v>2142.8571428571427</v>
      </c>
      <c r="D64" s="19">
        <f t="shared" si="14"/>
        <v>535.71428571428567</v>
      </c>
      <c r="E64" s="22">
        <f t="shared" si="19"/>
        <v>2678.5714285714284</v>
      </c>
      <c r="F64" s="19">
        <f t="shared" si="20"/>
        <v>59107.142857142804</v>
      </c>
      <c r="H64" s="19">
        <f t="shared" si="22"/>
        <v>9503.5714285714294</v>
      </c>
      <c r="I64" s="19">
        <f t="shared" si="5"/>
        <v>1216457.142857143</v>
      </c>
    </row>
    <row r="65" spans="1:12" x14ac:dyDescent="0.35">
      <c r="A65" t="s">
        <v>97</v>
      </c>
      <c r="B65" s="1">
        <f>B64+3</f>
        <v>46110</v>
      </c>
      <c r="C65" s="19">
        <f t="shared" si="11"/>
        <v>2678.5714285714284</v>
      </c>
      <c r="D65" s="19">
        <f t="shared" si="14"/>
        <v>535.71428571428567</v>
      </c>
      <c r="E65" s="22">
        <f t="shared" si="19"/>
        <v>3214.2857142857142</v>
      </c>
      <c r="F65" s="19">
        <f t="shared" si="20"/>
        <v>59642.857142857087</v>
      </c>
      <c r="H65" s="19">
        <f t="shared" si="22"/>
        <v>10039.285714285716</v>
      </c>
      <c r="I65" s="19">
        <f t="shared" si="5"/>
        <v>1285028.5714285716</v>
      </c>
    </row>
    <row r="66" spans="1:12" x14ac:dyDescent="0.35">
      <c r="A66" t="s">
        <v>98</v>
      </c>
      <c r="B66" s="1">
        <f t="shared" si="13"/>
        <v>46111</v>
      </c>
      <c r="C66" s="19">
        <f t="shared" si="11"/>
        <v>3214.2857142857142</v>
      </c>
      <c r="D66" s="19">
        <f t="shared" si="14"/>
        <v>535.71428571428567</v>
      </c>
      <c r="E66" s="22">
        <f t="shared" si="19"/>
        <v>3750</v>
      </c>
      <c r="F66" s="19">
        <f t="shared" si="20"/>
        <v>60178.571428571369</v>
      </c>
      <c r="H66" s="19">
        <f t="shared" si="22"/>
        <v>10575.000000000002</v>
      </c>
      <c r="I66" s="19">
        <f t="shared" si="5"/>
        <v>1353600.0000000002</v>
      </c>
    </row>
    <row r="67" spans="1:12" x14ac:dyDescent="0.35">
      <c r="A67" t="s">
        <v>99</v>
      </c>
      <c r="B67" s="1">
        <f t="shared" si="13"/>
        <v>46112</v>
      </c>
      <c r="C67" s="19">
        <f t="shared" si="11"/>
        <v>3750</v>
      </c>
      <c r="D67" s="19">
        <f t="shared" si="14"/>
        <v>535.71428571428567</v>
      </c>
      <c r="E67" s="22">
        <f t="shared" si="19"/>
        <v>4285.7142857142853</v>
      </c>
      <c r="F67" s="19">
        <f t="shared" si="20"/>
        <v>60714.285714285652</v>
      </c>
      <c r="H67" s="19">
        <f t="shared" si="22"/>
        <v>11110.714285714288</v>
      </c>
      <c r="I67" s="19">
        <f t="shared" si="5"/>
        <v>1422171.4285714289</v>
      </c>
      <c r="K67">
        <f>85000</f>
        <v>85000</v>
      </c>
      <c r="L67">
        <f>K67*128</f>
        <v>10880000</v>
      </c>
    </row>
    <row r="68" spans="1:12" x14ac:dyDescent="0.35">
      <c r="B68" s="1"/>
      <c r="L68" s="49">
        <f>I67/L67</f>
        <v>0.13071428571428576</v>
      </c>
    </row>
    <row r="69" spans="1:12" x14ac:dyDescent="0.35">
      <c r="B69" s="1"/>
    </row>
    <row r="70" spans="1:12" x14ac:dyDescent="0.35">
      <c r="B7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Dashboard</vt:lpstr>
      <vt:lpstr>Pivots</vt:lpstr>
      <vt:lpstr>Raw</vt:lpstr>
      <vt:lpstr>Trades</vt:lpstr>
      <vt:lpstr>Sheet1</vt:lpstr>
      <vt:lpstr>Sheet2</vt:lpstr>
      <vt:lpstr>Phase 1</vt:lpstr>
      <vt:lpstr>GOALS</vt:lpstr>
      <vt:lpstr>Compounding bot</vt:lpstr>
      <vt:lpstr>Compounding 2026</vt:lpstr>
      <vt:lpstr>trades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kado</dc:creator>
  <cp:lastModifiedBy>USER</cp:lastModifiedBy>
  <dcterms:created xsi:type="dcterms:W3CDTF">2021-01-08T06:54:05Z</dcterms:created>
  <dcterms:modified xsi:type="dcterms:W3CDTF">2026-06-04T17:11:54Z</dcterms:modified>
</cp:coreProperties>
</file>