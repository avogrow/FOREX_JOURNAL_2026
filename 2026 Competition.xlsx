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2026 Trading\"/>
    </mc:Choice>
  </mc:AlternateContent>
  <bookViews>
    <workbookView xWindow="0" yWindow="0" windowWidth="19200" windowHeight="7190"/>
  </bookViews>
  <sheets>
    <sheet name="Dashboard" sheetId="4" r:id="rId1"/>
    <sheet name="Pivots" sheetId="2" r:id="rId2"/>
    <sheet name="Raw" sheetId="14" r:id="rId3"/>
    <sheet name="Trades" sheetId="1" r:id="rId4"/>
    <sheet name="Sheet1" sheetId="9" state="hidden" r:id="rId5"/>
    <sheet name="Sheet2" sheetId="10" state="hidden" r:id="rId6"/>
    <sheet name="Phase 1" sheetId="6" r:id="rId7"/>
    <sheet name="GOALS" sheetId="13" r:id="rId8"/>
    <sheet name="Compounding bot" sheetId="7" state="hidden" r:id="rId9"/>
    <sheet name="Compounding 2026" sheetId="8" state="hidden" r:id="rId10"/>
  </sheets>
  <definedNames>
    <definedName name="trades">Trades!$A$1:$AH$4837</definedName>
  </definedNames>
  <calcPr calcId="152511" iterate="1" iterateCount="1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E5" i="6"/>
  <c r="J5" i="6"/>
  <c r="J4" i="6"/>
  <c r="D4" i="6"/>
  <c r="B4" i="6"/>
  <c r="E4" i="6"/>
  <c r="A5" i="6"/>
  <c r="A6" i="6" s="1"/>
  <c r="B5" i="6" l="1"/>
  <c r="D5" i="6" s="1"/>
  <c r="U2" i="13"/>
  <c r="J13" i="13"/>
  <c r="N6" i="13"/>
  <c r="R3" i="13"/>
  <c r="Q3" i="13"/>
  <c r="Q4" i="13"/>
  <c r="P4" i="13"/>
  <c r="O4" i="13"/>
  <c r="N4" i="13"/>
  <c r="M4" i="13"/>
  <c r="K4" i="13"/>
  <c r="L4" i="13"/>
  <c r="L6" i="13"/>
  <c r="J6" i="13"/>
  <c r="J5" i="13"/>
  <c r="J4" i="13"/>
  <c r="A7" i="6"/>
  <c r="A8" i="6" s="1"/>
  <c r="J6" i="6" l="1"/>
  <c r="E6" i="6"/>
  <c r="A9" i="6"/>
  <c r="A10" i="6" s="1"/>
  <c r="A11" i="6" s="1"/>
  <c r="A12" i="6" s="1"/>
  <c r="A13" i="6" s="1"/>
  <c r="C4" i="6"/>
  <c r="P5" i="1"/>
  <c r="P6" i="1"/>
  <c r="P9" i="1"/>
  <c r="P13" i="1"/>
  <c r="P14" i="1"/>
  <c r="F2" i="1"/>
  <c r="P3" i="1"/>
  <c r="P4" i="1"/>
  <c r="P7" i="1"/>
  <c r="P8" i="1"/>
  <c r="P10" i="1"/>
  <c r="P11" i="1"/>
  <c r="P12" i="1"/>
  <c r="P15" i="1"/>
  <c r="A14" i="6" l="1"/>
  <c r="A15" i="6" s="1"/>
  <c r="A16" i="6" s="1"/>
  <c r="A17" i="6" s="1"/>
  <c r="A18" i="6" s="1"/>
  <c r="A19" i="6" l="1"/>
  <c r="A20" i="6" s="1"/>
  <c r="A21" i="6" s="1"/>
  <c r="A22" i="6" s="1"/>
  <c r="A23" i="6" s="1"/>
  <c r="A24" i="6" s="1"/>
  <c r="A25" i="6" s="1"/>
  <c r="O2" i="1" l="1"/>
  <c r="M2" i="1"/>
  <c r="D2" i="1"/>
  <c r="C2" i="1"/>
  <c r="B2" i="1"/>
  <c r="P2" i="1" s="1"/>
  <c r="A2" i="1"/>
  <c r="N2" i="1"/>
  <c r="I2" i="1"/>
  <c r="J2" i="1"/>
  <c r="E2" i="1"/>
  <c r="H2" i="1" l="1"/>
  <c r="Z27" i="13"/>
  <c r="Z18" i="13"/>
  <c r="Z10" i="13"/>
  <c r="K2" i="1" l="1"/>
  <c r="L2" i="1"/>
  <c r="C18" i="13"/>
  <c r="D18" i="13" s="1"/>
  <c r="A18" i="13"/>
  <c r="C10" i="13"/>
  <c r="D29" i="13"/>
  <c r="F28" i="13"/>
  <c r="F27" i="13"/>
  <c r="F26" i="13"/>
  <c r="W27" i="13"/>
  <c r="N29" i="13"/>
  <c r="O29" i="13" s="1"/>
  <c r="P29" i="13" s="1"/>
  <c r="Q29" i="13" s="1"/>
  <c r="R29" i="13" s="1"/>
  <c r="S29" i="13" s="1"/>
  <c r="T29" i="13" s="1"/>
  <c r="U29" i="13" s="1"/>
  <c r="V29" i="13" s="1"/>
  <c r="M29" i="13"/>
  <c r="L29" i="13"/>
  <c r="M21" i="13"/>
  <c r="O21" i="13"/>
  <c r="Q21" i="13" s="1"/>
  <c r="S21" i="13" s="1"/>
  <c r="U21" i="13" s="1"/>
  <c r="N21" i="13"/>
  <c r="P21" i="13"/>
  <c r="R21" i="13"/>
  <c r="T21" i="13" s="1"/>
  <c r="V21" i="13" s="1"/>
  <c r="L21" i="13"/>
  <c r="J21" i="13"/>
  <c r="J29" i="13" s="1"/>
  <c r="F19" i="13"/>
  <c r="F20" i="13"/>
  <c r="W11" i="13"/>
  <c r="T13" i="13"/>
  <c r="U13" i="13" s="1"/>
  <c r="V13" i="13" s="1"/>
  <c r="O13" i="13"/>
  <c r="P13" i="13" s="1"/>
  <c r="Q13" i="13" s="1"/>
  <c r="R13" i="13" s="1"/>
  <c r="S13" i="13" s="1"/>
  <c r="N13" i="13"/>
  <c r="M13" i="13"/>
  <c r="L13" i="13"/>
  <c r="F12" i="13"/>
  <c r="F11" i="13"/>
  <c r="G2" i="13"/>
  <c r="G3" i="13"/>
  <c r="F4" i="13"/>
  <c r="F3" i="13"/>
  <c r="F2" i="13"/>
  <c r="M2" i="13"/>
  <c r="C27" i="13"/>
  <c r="D27" i="13" s="1"/>
  <c r="C19" i="13"/>
  <c r="D19" i="13" s="1"/>
  <c r="C11" i="13"/>
  <c r="D11" i="13" s="1"/>
  <c r="L2" i="13"/>
  <c r="C3" i="13"/>
  <c r="D3" i="13" s="1"/>
  <c r="C2" i="13"/>
  <c r="D2" i="13" s="1"/>
  <c r="D28" i="13"/>
  <c r="G28" i="13" s="1"/>
  <c r="B27" i="13"/>
  <c r="B28" i="13" s="1"/>
  <c r="C26" i="13"/>
  <c r="D20" i="13"/>
  <c r="B19" i="13"/>
  <c r="B20" i="13" s="1"/>
  <c r="D12" i="13"/>
  <c r="B11" i="13"/>
  <c r="B12" i="13" s="1"/>
  <c r="D10" i="13"/>
  <c r="F10" i="13" s="1"/>
  <c r="G10" i="13" s="1"/>
  <c r="D21" i="13" l="1"/>
  <c r="F18" i="13"/>
  <c r="G27" i="13"/>
  <c r="G20" i="13"/>
  <c r="G19" i="13"/>
  <c r="G12" i="13"/>
  <c r="C4" i="13"/>
  <c r="C29" i="13"/>
  <c r="D26" i="13"/>
  <c r="F13" i="13"/>
  <c r="D13" i="13"/>
  <c r="C13" i="13"/>
  <c r="C21" i="13"/>
  <c r="G11" i="13"/>
  <c r="J3" i="13"/>
  <c r="D4" i="13"/>
  <c r="N2" i="13" l="1"/>
  <c r="L3" i="13"/>
  <c r="F21" i="13"/>
  <c r="G18" i="13"/>
  <c r="G21" i="13" s="1"/>
  <c r="G4" i="13"/>
  <c r="G13" i="13"/>
  <c r="K67" i="8"/>
  <c r="L67" i="8"/>
  <c r="L68" i="8" s="1"/>
  <c r="F60" i="8"/>
  <c r="F59" i="8"/>
  <c r="F47" i="8"/>
  <c r="F48" i="8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H59" i="8"/>
  <c r="D60" i="8"/>
  <c r="D58" i="8"/>
  <c r="E58" i="8"/>
  <c r="E57" i="8"/>
  <c r="H48" i="8"/>
  <c r="H47" i="8"/>
  <c r="H50" i="8"/>
  <c r="I50" i="8" s="1"/>
  <c r="M50" i="8"/>
  <c r="E48" i="8"/>
  <c r="E47" i="8"/>
  <c r="M49" i="8"/>
  <c r="H49" i="8"/>
  <c r="H16" i="8"/>
  <c r="J17" i="8"/>
  <c r="I16" i="8"/>
  <c r="I17" i="8"/>
  <c r="H38" i="8"/>
  <c r="H37" i="8"/>
  <c r="H35" i="8"/>
  <c r="H36" i="8" s="1"/>
  <c r="H34" i="8"/>
  <c r="H33" i="8"/>
  <c r="H29" i="8"/>
  <c r="H30" i="8"/>
  <c r="H31" i="8" s="1"/>
  <c r="H32" i="8" s="1"/>
  <c r="H28" i="8"/>
  <c r="F17" i="8"/>
  <c r="F18" i="8"/>
  <c r="F19" i="8" s="1"/>
  <c r="F20" i="8" s="1"/>
  <c r="F21" i="8" s="1"/>
  <c r="F22" i="8" s="1"/>
  <c r="F23" i="8" s="1"/>
  <c r="F16" i="8"/>
  <c r="H17" i="8"/>
  <c r="F15" i="8"/>
  <c r="C16" i="8"/>
  <c r="D16" i="8"/>
  <c r="D15" i="8"/>
  <c r="F12" i="8"/>
  <c r="F13" i="8"/>
  <c r="E3" i="8"/>
  <c r="E10" i="8"/>
  <c r="F10" i="8"/>
  <c r="F3" i="8"/>
  <c r="C3" i="8"/>
  <c r="M48" i="8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J48" i="8"/>
  <c r="K48" i="8" s="1"/>
  <c r="K46" i="8"/>
  <c r="I46" i="8"/>
  <c r="F46" i="8"/>
  <c r="K45" i="8"/>
  <c r="J43" i="8"/>
  <c r="K43" i="8" s="1"/>
  <c r="J42" i="8"/>
  <c r="K42" i="8" s="1"/>
  <c r="J41" i="8"/>
  <c r="K41" i="8" s="1"/>
  <c r="J40" i="8"/>
  <c r="K40" i="8" s="1"/>
  <c r="J39" i="8"/>
  <c r="K39" i="8" s="1"/>
  <c r="K26" i="8"/>
  <c r="I26" i="8"/>
  <c r="F26" i="8"/>
  <c r="C26" i="8"/>
  <c r="E26" i="8" s="1"/>
  <c r="C27" i="8" s="1"/>
  <c r="N25" i="8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K25" i="8"/>
  <c r="I25" i="8"/>
  <c r="J23" i="8"/>
  <c r="K23" i="8" s="1"/>
  <c r="K22" i="8"/>
  <c r="J22" i="8"/>
  <c r="J21" i="8"/>
  <c r="K21" i="8" s="1"/>
  <c r="J20" i="8"/>
  <c r="K20" i="8" s="1"/>
  <c r="J19" i="8"/>
  <c r="K19" i="8" s="1"/>
  <c r="J18" i="8"/>
  <c r="K18" i="8" s="1"/>
  <c r="K17" i="8"/>
  <c r="D4" i="8"/>
  <c r="D5" i="8" s="1"/>
  <c r="D6" i="8" s="1"/>
  <c r="D7" i="8" s="1"/>
  <c r="D8" i="8" s="1"/>
  <c r="D9" i="8" s="1"/>
  <c r="D10" i="8" s="1"/>
  <c r="D11" i="8" s="1"/>
  <c r="D12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H4" i="7"/>
  <c r="F4" i="7"/>
  <c r="E4" i="7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B5" i="7"/>
  <c r="B6" i="7" s="1"/>
  <c r="B7" i="7" s="1"/>
  <c r="B8" i="7" s="1"/>
  <c r="B9" i="7" s="1"/>
  <c r="B10" i="7" s="1"/>
  <c r="B11" i="7" s="1"/>
  <c r="B12" i="7" s="1"/>
  <c r="B13" i="7" s="1"/>
  <c r="L5" i="13" l="1"/>
  <c r="M3" i="13" s="1"/>
  <c r="O2" i="13"/>
  <c r="G26" i="13"/>
  <c r="G29" i="13" s="1"/>
  <c r="F29" i="13"/>
  <c r="D61" i="8"/>
  <c r="D62" i="8" s="1"/>
  <c r="D63" i="8" s="1"/>
  <c r="D64" i="8" s="1"/>
  <c r="D65" i="8" s="1"/>
  <c r="D66" i="8" s="1"/>
  <c r="D67" i="8" s="1"/>
  <c r="H51" i="8"/>
  <c r="H52" i="8" s="1"/>
  <c r="H53" i="8" s="1"/>
  <c r="H54" i="8" s="1"/>
  <c r="H55" i="8" s="1"/>
  <c r="H56" i="8" s="1"/>
  <c r="H57" i="8" s="1"/>
  <c r="H58" i="8" s="1"/>
  <c r="E39" i="8"/>
  <c r="F27" i="8"/>
  <c r="F28" i="8" s="1"/>
  <c r="D41" i="8"/>
  <c r="D42" i="8" s="1"/>
  <c r="D43" i="8" s="1"/>
  <c r="H39" i="8"/>
  <c r="H40" i="8" s="1"/>
  <c r="E27" i="8"/>
  <c r="C28" i="8" s="1"/>
  <c r="C47" i="8"/>
  <c r="F35" i="8"/>
  <c r="F39" i="8"/>
  <c r="E16" i="8"/>
  <c r="C17" i="8" s="1"/>
  <c r="C4" i="8"/>
  <c r="E4" i="8" s="1"/>
  <c r="C5" i="8" s="1"/>
  <c r="E5" i="8" s="1"/>
  <c r="C6" i="8" s="1"/>
  <c r="E6" i="8" s="1"/>
  <c r="C7" i="8" s="1"/>
  <c r="E7" i="8" s="1"/>
  <c r="C8" i="8" s="1"/>
  <c r="E8" i="8" s="1"/>
  <c r="C9" i="8" s="1"/>
  <c r="E9" i="8" s="1"/>
  <c r="C10" i="8" s="1"/>
  <c r="C11" i="8" s="1"/>
  <c r="E11" i="8" s="1"/>
  <c r="C12" i="8" s="1"/>
  <c r="E12" i="8" s="1"/>
  <c r="C13" i="8" s="1"/>
  <c r="F4" i="8"/>
  <c r="F5" i="8" s="1"/>
  <c r="F6" i="8" s="1"/>
  <c r="F7" i="8" s="1"/>
  <c r="F8" i="8" s="1"/>
  <c r="F9" i="8" s="1"/>
  <c r="F11" i="8" s="1"/>
  <c r="D13" i="8"/>
  <c r="D17" i="8" s="1"/>
  <c r="M6" i="13" l="1"/>
  <c r="M5" i="13"/>
  <c r="P2" i="13"/>
  <c r="N3" i="13"/>
  <c r="H60" i="8"/>
  <c r="H61" i="8" s="1"/>
  <c r="H62" i="8" s="1"/>
  <c r="H63" i="8" s="1"/>
  <c r="H64" i="8" s="1"/>
  <c r="H65" i="8" s="1"/>
  <c r="H66" i="8" s="1"/>
  <c r="H67" i="8" s="1"/>
  <c r="E28" i="8"/>
  <c r="C29" i="8" s="1"/>
  <c r="E29" i="8" s="1"/>
  <c r="C30" i="8" s="1"/>
  <c r="E30" i="8" s="1"/>
  <c r="H41" i="8"/>
  <c r="H42" i="8" s="1"/>
  <c r="H43" i="8" s="1"/>
  <c r="C48" i="8"/>
  <c r="E17" i="8"/>
  <c r="C18" i="8" s="1"/>
  <c r="I48" i="8"/>
  <c r="E13" i="8"/>
  <c r="C15" i="8" s="1"/>
  <c r="E15" i="8" s="1"/>
  <c r="I49" i="8"/>
  <c r="F29" i="8"/>
  <c r="D18" i="8"/>
  <c r="D19" i="8" s="1"/>
  <c r="D20" i="8" s="1"/>
  <c r="D21" i="8" s="1"/>
  <c r="D22" i="8" s="1"/>
  <c r="D23" i="8" s="1"/>
  <c r="A5" i="4"/>
  <c r="J5" i="4"/>
  <c r="N5" i="13" l="1"/>
  <c r="O3" i="13" s="1"/>
  <c r="Q2" i="13"/>
  <c r="J10" i="13" s="1"/>
  <c r="C49" i="8"/>
  <c r="C31" i="8"/>
  <c r="E31" i="8" s="1"/>
  <c r="E18" i="8"/>
  <c r="C19" i="8" s="1"/>
  <c r="E19" i="8" s="1"/>
  <c r="C20" i="8" s="1"/>
  <c r="E20" i="8" s="1"/>
  <c r="C21" i="8" s="1"/>
  <c r="E21" i="8" s="1"/>
  <c r="C22" i="8" s="1"/>
  <c r="E22" i="8" s="1"/>
  <c r="C23" i="8" s="1"/>
  <c r="E23" i="8" s="1"/>
  <c r="F30" i="8"/>
  <c r="D5" i="4"/>
  <c r="R2" i="13" l="1"/>
  <c r="O6" i="13"/>
  <c r="O5" i="13"/>
  <c r="P3" i="13" s="1"/>
  <c r="G5" i="4"/>
  <c r="C50" i="8"/>
  <c r="E50" i="8" s="1"/>
  <c r="C51" i="8" s="1"/>
  <c r="E51" i="8" s="1"/>
  <c r="E49" i="8"/>
  <c r="C32" i="8"/>
  <c r="E32" i="8" s="1"/>
  <c r="H18" i="8"/>
  <c r="I18" i="8" s="1"/>
  <c r="I51" i="8"/>
  <c r="H19" i="8"/>
  <c r="I19" i="8" s="1"/>
  <c r="F31" i="8"/>
  <c r="P6" i="13" l="1"/>
  <c r="P5" i="13"/>
  <c r="S3" i="13" s="1"/>
  <c r="L10" i="13"/>
  <c r="J11" i="13"/>
  <c r="J12" i="13" s="1"/>
  <c r="J14" i="13" s="1"/>
  <c r="P5" i="4"/>
  <c r="M5" i="4" s="1"/>
  <c r="C33" i="8"/>
  <c r="E33" i="8" s="1"/>
  <c r="C52" i="8"/>
  <c r="E52" i="8" s="1"/>
  <c r="H20" i="8"/>
  <c r="I20" i="8" s="1"/>
  <c r="I52" i="8"/>
  <c r="F32" i="8"/>
  <c r="M10" i="13" l="1"/>
  <c r="M11" i="13" s="1"/>
  <c r="M12" i="13" s="1"/>
  <c r="M14" i="13" s="1"/>
  <c r="Q6" i="13"/>
  <c r="Q5" i="13"/>
  <c r="E34" i="8"/>
  <c r="C53" i="8"/>
  <c r="E53" i="8" s="1"/>
  <c r="F33" i="8"/>
  <c r="F34" i="8" s="1"/>
  <c r="I53" i="8"/>
  <c r="H21" i="8"/>
  <c r="I21" i="8" s="1"/>
  <c r="N10" i="13" l="1"/>
  <c r="O10" i="13" s="1"/>
  <c r="P10" i="13" s="1"/>
  <c r="Q10" i="13" s="1"/>
  <c r="R10" i="13" s="1"/>
  <c r="R11" i="13"/>
  <c r="R12" i="13" s="1"/>
  <c r="R14" i="13" s="1"/>
  <c r="S10" i="13"/>
  <c r="C35" i="8"/>
  <c r="E35" i="8"/>
  <c r="C54" i="8"/>
  <c r="E54" i="8" s="1"/>
  <c r="C36" i="8"/>
  <c r="E36" i="8" s="1"/>
  <c r="H23" i="8"/>
  <c r="I23" i="8" s="1"/>
  <c r="H22" i="8"/>
  <c r="I22" i="8" s="1"/>
  <c r="I54" i="8"/>
  <c r="T10" i="13" l="1"/>
  <c r="S11" i="13"/>
  <c r="S12" i="13" s="1"/>
  <c r="S14" i="13" s="1"/>
  <c r="E55" i="8"/>
  <c r="C37" i="8"/>
  <c r="E37" i="8" s="1"/>
  <c r="I55" i="8"/>
  <c r="U10" i="13" l="1"/>
  <c r="T11" i="13"/>
  <c r="T12" i="13" s="1"/>
  <c r="T14" i="13" s="1"/>
  <c r="C56" i="8"/>
  <c r="E56" i="8" s="1"/>
  <c r="C38" i="8"/>
  <c r="E38" i="8" s="1"/>
  <c r="F36" i="8"/>
  <c r="I56" i="8"/>
  <c r="V10" i="13" l="1"/>
  <c r="U11" i="13"/>
  <c r="U12" i="13" s="1"/>
  <c r="U14" i="13" s="1"/>
  <c r="C40" i="8"/>
  <c r="E40" i="8" s="1"/>
  <c r="C57" i="8"/>
  <c r="I57" i="8"/>
  <c r="F37" i="8"/>
  <c r="V11" i="13" l="1"/>
  <c r="V12" i="13" s="1"/>
  <c r="V14" i="13" s="1"/>
  <c r="W10" i="13"/>
  <c r="J18" i="13"/>
  <c r="C58" i="8"/>
  <c r="C41" i="8"/>
  <c r="E41" i="8" s="1"/>
  <c r="I58" i="8"/>
  <c r="F38" i="8"/>
  <c r="J19" i="13" l="1"/>
  <c r="L18" i="13"/>
  <c r="M18" i="13" s="1"/>
  <c r="M19" i="13" s="1"/>
  <c r="M20" i="13" s="1"/>
  <c r="M22" i="13" s="1"/>
  <c r="C42" i="8"/>
  <c r="E42" i="8" s="1"/>
  <c r="E59" i="8"/>
  <c r="I59" i="8"/>
  <c r="I38" i="8"/>
  <c r="J20" i="13" l="1"/>
  <c r="J22" i="13" s="1"/>
  <c r="L19" i="13"/>
  <c r="L20" i="13" s="1"/>
  <c r="L22" i="13" s="1"/>
  <c r="C60" i="8"/>
  <c r="E60" i="8" s="1"/>
  <c r="C43" i="8"/>
  <c r="E43" i="8" s="1"/>
  <c r="F40" i="8"/>
  <c r="I39" i="8"/>
  <c r="I60" i="8"/>
  <c r="F61" i="8"/>
  <c r="N18" i="13" l="1"/>
  <c r="C61" i="8"/>
  <c r="E61" i="8" s="1"/>
  <c r="I61" i="8"/>
  <c r="F62" i="8"/>
  <c r="F41" i="8"/>
  <c r="I40" i="8"/>
  <c r="O18" i="13" l="1"/>
  <c r="N19" i="13"/>
  <c r="C62" i="8"/>
  <c r="E62" i="8" s="1"/>
  <c r="I62" i="8"/>
  <c r="F63" i="8"/>
  <c r="F42" i="8"/>
  <c r="F43" i="8" s="1"/>
  <c r="I41" i="8"/>
  <c r="N20" i="13" l="1"/>
  <c r="N22" i="13" s="1"/>
  <c r="P18" i="13"/>
  <c r="O19" i="13"/>
  <c r="O20" i="13" s="1"/>
  <c r="O22" i="13" s="1"/>
  <c r="C63" i="8"/>
  <c r="E63" i="8" s="1"/>
  <c r="I43" i="8"/>
  <c r="I42" i="8"/>
  <c r="I63" i="8"/>
  <c r="F64" i="8"/>
  <c r="Q18" i="13" l="1"/>
  <c r="P19" i="13"/>
  <c r="C64" i="8"/>
  <c r="E64" i="8" s="1"/>
  <c r="F65" i="8"/>
  <c r="I64" i="8"/>
  <c r="P20" i="13" l="1"/>
  <c r="P22" i="13" s="1"/>
  <c r="R18" i="13"/>
  <c r="Q19" i="13"/>
  <c r="C65" i="8"/>
  <c r="E65" i="8" s="1"/>
  <c r="F66" i="8"/>
  <c r="I65" i="8"/>
  <c r="Q20" i="13" l="1"/>
  <c r="Q22" i="13" s="1"/>
  <c r="S18" i="13"/>
  <c r="R19" i="13"/>
  <c r="R20" i="13" s="1"/>
  <c r="R22" i="13" s="1"/>
  <c r="C66" i="8"/>
  <c r="E66" i="8" s="1"/>
  <c r="I66" i="8"/>
  <c r="F67" i="8"/>
  <c r="I67" i="8" s="1"/>
  <c r="S19" i="13" l="1"/>
  <c r="T18" i="13"/>
  <c r="C67" i="8"/>
  <c r="E67" i="8" s="1"/>
  <c r="S20" i="13" l="1"/>
  <c r="S22" i="13" s="1"/>
  <c r="U18" i="13"/>
  <c r="T19" i="13"/>
  <c r="T20" i="13" s="1"/>
  <c r="T22" i="13" s="1"/>
  <c r="D5" i="7"/>
  <c r="D6" i="7" s="1"/>
  <c r="D7" i="7" s="1"/>
  <c r="D8" i="7" s="1"/>
  <c r="D9" i="7" s="1"/>
  <c r="D10" i="7" s="1"/>
  <c r="D11" i="7" s="1"/>
  <c r="D12" i="7" s="1"/>
  <c r="D13" i="7" s="1"/>
  <c r="C5" i="7"/>
  <c r="V18" i="13" l="1"/>
  <c r="J26" i="13" s="1"/>
  <c r="U19" i="13"/>
  <c r="U20" i="13" s="1"/>
  <c r="U22" i="13" s="1"/>
  <c r="E5" i="7"/>
  <c r="C6" i="7" s="1"/>
  <c r="E6" i="7" s="1"/>
  <c r="C7" i="7" s="1"/>
  <c r="E7" i="7" s="1"/>
  <c r="C8" i="7" s="1"/>
  <c r="E8" i="7" s="1"/>
  <c r="C9" i="7" s="1"/>
  <c r="E9" i="7" s="1"/>
  <c r="C10" i="7" s="1"/>
  <c r="E10" i="7" s="1"/>
  <c r="C11" i="7" s="1"/>
  <c r="E11" i="7" s="1"/>
  <c r="C12" i="7" s="1"/>
  <c r="E12" i="7" s="1"/>
  <c r="C13" i="7" s="1"/>
  <c r="E13" i="7" s="1"/>
  <c r="J4" i="7"/>
  <c r="F5" i="7"/>
  <c r="J27" i="13" l="1"/>
  <c r="L26" i="13"/>
  <c r="M26" i="13" s="1"/>
  <c r="M27" i="13" s="1"/>
  <c r="M28" i="13" s="1"/>
  <c r="M30" i="13" s="1"/>
  <c r="W18" i="13"/>
  <c r="V19" i="13"/>
  <c r="W19" i="13" s="1"/>
  <c r="I5" i="7"/>
  <c r="J5" i="7" s="1"/>
  <c r="H5" i="7"/>
  <c r="F6" i="7"/>
  <c r="J28" i="13" l="1"/>
  <c r="J30" i="13" s="1"/>
  <c r="L27" i="13"/>
  <c r="L28" i="13" s="1"/>
  <c r="L30" i="13" s="1"/>
  <c r="V20" i="13"/>
  <c r="V22" i="13" s="1"/>
  <c r="X19" i="13"/>
  <c r="F7" i="7"/>
  <c r="H6" i="7"/>
  <c r="I6" i="7"/>
  <c r="J6" i="7" s="1"/>
  <c r="N26" i="13" l="1"/>
  <c r="I7" i="7"/>
  <c r="J7" i="7" s="1"/>
  <c r="F8" i="7"/>
  <c r="H7" i="7"/>
  <c r="O26" i="13" l="1"/>
  <c r="N27" i="13"/>
  <c r="H8" i="7"/>
  <c r="F9" i="7"/>
  <c r="I8" i="7"/>
  <c r="J8" i="7" s="1"/>
  <c r="N28" i="13" l="1"/>
  <c r="N30" i="13" s="1"/>
  <c r="O27" i="13"/>
  <c r="O28" i="13" s="1"/>
  <c r="O30" i="13" s="1"/>
  <c r="P26" i="13"/>
  <c r="F10" i="7"/>
  <c r="H9" i="7"/>
  <c r="I9" i="7"/>
  <c r="J9" i="7" s="1"/>
  <c r="P27" i="13" l="1"/>
  <c r="Q26" i="13"/>
  <c r="F11" i="7"/>
  <c r="I10" i="7"/>
  <c r="J10" i="7" s="1"/>
  <c r="H10" i="7"/>
  <c r="P28" i="13" l="1"/>
  <c r="P30" i="13" s="1"/>
  <c r="Q27" i="13"/>
  <c r="R26" i="13"/>
  <c r="I11" i="7"/>
  <c r="J11" i="7" s="1"/>
  <c r="H11" i="7"/>
  <c r="F12" i="7"/>
  <c r="S26" i="13" l="1"/>
  <c r="R27" i="13"/>
  <c r="R28" i="13" s="1"/>
  <c r="R30" i="13" s="1"/>
  <c r="Q28" i="13"/>
  <c r="Q30" i="13" s="1"/>
  <c r="H12" i="7"/>
  <c r="F13" i="7"/>
  <c r="I12" i="7"/>
  <c r="J12" i="7" s="1"/>
  <c r="T26" i="13" l="1"/>
  <c r="S27" i="13"/>
  <c r="S28" i="13" s="1"/>
  <c r="S30" i="13" s="1"/>
  <c r="I13" i="7"/>
  <c r="J13" i="7" s="1"/>
  <c r="H13" i="7"/>
  <c r="P11" i="13"/>
  <c r="P12" i="13" s="1"/>
  <c r="P14" i="13" s="1"/>
  <c r="N11" i="13"/>
  <c r="N12" i="13" s="1"/>
  <c r="N14" i="13" s="1"/>
  <c r="Q11" i="13"/>
  <c r="Q12" i="13" s="1"/>
  <c r="Q14" i="13" s="1"/>
  <c r="L11" i="13"/>
  <c r="O11" i="13"/>
  <c r="O12" i="13" s="1"/>
  <c r="O14" i="13" s="1"/>
  <c r="U26" i="13" l="1"/>
  <c r="T27" i="13"/>
  <c r="T28" i="13" s="1"/>
  <c r="T30" i="13" s="1"/>
  <c r="L12" i="13"/>
  <c r="L14" i="13" s="1"/>
  <c r="X11" i="13"/>
  <c r="V26" i="13" l="1"/>
  <c r="U27" i="13"/>
  <c r="U28" i="13" s="1"/>
  <c r="U30" i="13" s="1"/>
  <c r="V27" i="13" l="1"/>
  <c r="W26" i="13"/>
  <c r="V28" i="13" l="1"/>
  <c r="V30" i="13" s="1"/>
  <c r="X27" i="13"/>
  <c r="C5" i="6" l="1"/>
  <c r="B6" i="6" l="1"/>
  <c r="D6" i="6" s="1"/>
  <c r="J7" i="6" l="1"/>
  <c r="E7" i="6"/>
  <c r="B7" i="6" s="1"/>
  <c r="D7" i="6" s="1"/>
  <c r="C6" i="6"/>
  <c r="J8" i="6" l="1"/>
  <c r="E8" i="6"/>
  <c r="B8" i="6"/>
  <c r="D8" i="6" s="1"/>
  <c r="C7" i="6"/>
  <c r="J9" i="6" l="1"/>
  <c r="E9" i="6"/>
  <c r="B9" i="6" s="1"/>
  <c r="C8" i="6"/>
  <c r="D9" i="6" l="1"/>
  <c r="C9" i="6"/>
  <c r="J10" i="6" l="1"/>
  <c r="E10" i="6"/>
  <c r="B10" i="6" s="1"/>
  <c r="C10" i="6" l="1"/>
  <c r="D10" i="6"/>
  <c r="J11" i="6" l="1"/>
  <c r="E11" i="6"/>
  <c r="B11" i="6"/>
  <c r="D11" i="6" l="1"/>
  <c r="C11" i="6"/>
  <c r="J12" i="6" l="1"/>
  <c r="E12" i="6"/>
  <c r="B12" i="6"/>
  <c r="C12" i="6" l="1"/>
  <c r="D12" i="6"/>
  <c r="J13" i="6" l="1"/>
  <c r="E13" i="6"/>
  <c r="B13" i="6" s="1"/>
  <c r="D13" i="6" l="1"/>
  <c r="C13" i="6"/>
  <c r="J14" i="6" l="1"/>
  <c r="E14" i="6"/>
  <c r="B14" i="6"/>
  <c r="C14" i="6" s="1"/>
  <c r="D14" i="6" l="1"/>
  <c r="J15" i="6" l="1"/>
  <c r="E15" i="6"/>
  <c r="B15" i="6"/>
  <c r="C15" i="6" l="1"/>
  <c r="D15" i="6"/>
  <c r="J16" i="6" l="1"/>
  <c r="E16" i="6"/>
  <c r="B16" i="6" s="1"/>
  <c r="D16" i="6"/>
  <c r="C16" i="6"/>
  <c r="J17" i="6" l="1"/>
  <c r="E17" i="6"/>
  <c r="B17" i="6"/>
  <c r="C17" i="6" l="1"/>
  <c r="J18" i="6" l="1"/>
  <c r="E18" i="6"/>
  <c r="B18" i="6"/>
  <c r="D18" i="6" l="1"/>
  <c r="C18" i="6"/>
  <c r="J19" i="6" l="1"/>
  <c r="E19" i="6"/>
  <c r="B19" i="6"/>
  <c r="C19" i="6" l="1"/>
  <c r="D19" i="6"/>
  <c r="J20" i="6" l="1"/>
  <c r="E20" i="6"/>
  <c r="B20" i="6" s="1"/>
  <c r="D20" i="6" l="1"/>
  <c r="C20" i="6"/>
  <c r="J21" i="6" l="1"/>
  <c r="E21" i="6"/>
  <c r="B21" i="6"/>
  <c r="C21" i="6" l="1"/>
  <c r="D21" i="6"/>
  <c r="J22" i="6" l="1"/>
  <c r="E22" i="6"/>
  <c r="B22" i="6"/>
  <c r="D22" i="6" l="1"/>
  <c r="C22" i="6"/>
  <c r="J23" i="6" l="1"/>
  <c r="E23" i="6"/>
  <c r="B23" i="6"/>
  <c r="C23" i="6" l="1"/>
  <c r="D23" i="6"/>
  <c r="J24" i="6" l="1"/>
  <c r="E24" i="6"/>
  <c r="B24" i="6"/>
  <c r="D24" i="6" l="1"/>
  <c r="C24" i="6"/>
  <c r="J25" i="6" l="1"/>
  <c r="E25" i="6"/>
  <c r="B25" i="6"/>
  <c r="C25" i="6" l="1"/>
  <c r="D25" i="6"/>
</calcChain>
</file>

<file path=xl/sharedStrings.xml><?xml version="1.0" encoding="utf-8"?>
<sst xmlns="http://schemas.openxmlformats.org/spreadsheetml/2006/main" count="777" uniqueCount="202">
  <si>
    <t>id</t>
  </si>
  <si>
    <t>entryDate</t>
  </si>
  <si>
    <t>exitDate</t>
  </si>
  <si>
    <t>type</t>
  </si>
  <si>
    <t>symbol</t>
  </si>
  <si>
    <t>entryPrice</t>
  </si>
  <si>
    <t>exitPrice</t>
  </si>
  <si>
    <t>gainAmount</t>
  </si>
  <si>
    <t>quantity</t>
  </si>
  <si>
    <t>fees</t>
  </si>
  <si>
    <t>gainPercent</t>
  </si>
  <si>
    <t>tradeCount</t>
  </si>
  <si>
    <t>entryDateTime</t>
  </si>
  <si>
    <t>exitDateTime</t>
  </si>
  <si>
    <t>Extra2</t>
  </si>
  <si>
    <t>Extra3</t>
  </si>
  <si>
    <t>Extra4</t>
  </si>
  <si>
    <t>Extra5</t>
  </si>
  <si>
    <t>Extra6</t>
  </si>
  <si>
    <t>Extra7</t>
  </si>
  <si>
    <t>Extra8</t>
  </si>
  <si>
    <t>Extra9</t>
  </si>
  <si>
    <t>Extra10</t>
  </si>
  <si>
    <t>Extra11</t>
  </si>
  <si>
    <t>Extra12</t>
  </si>
  <si>
    <t>Extra13</t>
  </si>
  <si>
    <t>Extra14</t>
  </si>
  <si>
    <t>Extra15</t>
  </si>
  <si>
    <t>Extra16</t>
  </si>
  <si>
    <t>Extra17</t>
  </si>
  <si>
    <t>Extra18</t>
  </si>
  <si>
    <t>Extra19</t>
  </si>
  <si>
    <t>Extra20</t>
  </si>
  <si>
    <t>Row Labels</t>
  </si>
  <si>
    <t>Grand Total</t>
  </si>
  <si>
    <t>Sum of gainAmount</t>
  </si>
  <si>
    <t>Count of id</t>
  </si>
  <si>
    <t>accProfit</t>
  </si>
  <si>
    <t>Daily PnL</t>
  </si>
  <si>
    <t>Accumulated Profit</t>
  </si>
  <si>
    <t>Winning trades %</t>
  </si>
  <si>
    <t>Average of gainAmount</t>
  </si>
  <si>
    <t>Total profit</t>
  </si>
  <si>
    <t>Total trades</t>
  </si>
  <si>
    <t>Long/Short</t>
  </si>
  <si>
    <t>Wins</t>
  </si>
  <si>
    <t>Average gain / trade</t>
  </si>
  <si>
    <t>Avg gain / trade</t>
  </si>
  <si>
    <t>PnL</t>
  </si>
  <si>
    <t>Total PnL</t>
  </si>
  <si>
    <t>Symbol</t>
  </si>
  <si>
    <t>Top symbols by PnL</t>
  </si>
  <si>
    <t>Top symbols by Gain %</t>
  </si>
  <si>
    <t>Time</t>
  </si>
  <si>
    <t>Type</t>
  </si>
  <si>
    <t>Profit</t>
  </si>
  <si>
    <t>NAS100.raw</t>
  </si>
  <si>
    <t>1</t>
  </si>
  <si>
    <t>buy</t>
  </si>
  <si>
    <t>Win</t>
  </si>
  <si>
    <t>0</t>
  </si>
  <si>
    <t>Win Rate</t>
  </si>
  <si>
    <t>Top Up</t>
  </si>
  <si>
    <t>Total</t>
  </si>
  <si>
    <t>Opening Balance</t>
  </si>
  <si>
    <t>ID</t>
  </si>
  <si>
    <t>Prior Day Score</t>
  </si>
  <si>
    <t>Today's Target</t>
  </si>
  <si>
    <t>Max Profit</t>
  </si>
  <si>
    <t>Funded 1</t>
  </si>
  <si>
    <t>Verification 1</t>
  </si>
  <si>
    <t>Verification 2</t>
  </si>
  <si>
    <t>Verification 3</t>
  </si>
  <si>
    <t>Verification 4</t>
  </si>
  <si>
    <t>Challenge 1</t>
  </si>
  <si>
    <t>Challenge 2</t>
  </si>
  <si>
    <t>Challenge 3</t>
  </si>
  <si>
    <t>Challenge 4</t>
  </si>
  <si>
    <t>Challenge 5</t>
  </si>
  <si>
    <t>Challenge 6</t>
  </si>
  <si>
    <t>Challenge 7</t>
  </si>
  <si>
    <t>Challenge 8</t>
  </si>
  <si>
    <t>Funded 2</t>
  </si>
  <si>
    <t>Funded 3</t>
  </si>
  <si>
    <t>Funded 4</t>
  </si>
  <si>
    <t>Funded 5</t>
  </si>
  <si>
    <t>Funded 6</t>
  </si>
  <si>
    <t>Funded 7</t>
  </si>
  <si>
    <t>Funded 8</t>
  </si>
  <si>
    <t>Funded 13</t>
  </si>
  <si>
    <t>Funded 14</t>
  </si>
  <si>
    <t>Funded 15</t>
  </si>
  <si>
    <t>Funded 16</t>
  </si>
  <si>
    <t>Funded 17</t>
  </si>
  <si>
    <t>Funded 18</t>
  </si>
  <si>
    <t>Funded 19</t>
  </si>
  <si>
    <t>Funded 20</t>
  </si>
  <si>
    <t>Funded 21</t>
  </si>
  <si>
    <t>Funded 22</t>
  </si>
  <si>
    <t>Funded 23</t>
  </si>
  <si>
    <t>Withdrawable $</t>
  </si>
  <si>
    <t>Withdrawable Ksh</t>
  </si>
  <si>
    <t>Todays Gross profits</t>
  </si>
  <si>
    <t>Expected $</t>
  </si>
  <si>
    <t>Expected Ksh</t>
  </si>
  <si>
    <t>bot1</t>
  </si>
  <si>
    <t>bot2</t>
  </si>
  <si>
    <t>bot3</t>
  </si>
  <si>
    <t>bot4</t>
  </si>
  <si>
    <t>bot5</t>
  </si>
  <si>
    <t>bot6</t>
  </si>
  <si>
    <t>bot7</t>
  </si>
  <si>
    <t>bot8</t>
  </si>
  <si>
    <t>bot9</t>
  </si>
  <si>
    <t>bot10</t>
  </si>
  <si>
    <t>REVIIEW DAY</t>
  </si>
  <si>
    <t>Withdraw 1</t>
  </si>
  <si>
    <t>Funded 7 Request Payout</t>
  </si>
  <si>
    <t>Withdraw 2</t>
  </si>
  <si>
    <t>10K Account</t>
  </si>
  <si>
    <t>+</t>
  </si>
  <si>
    <t>25K Account</t>
  </si>
  <si>
    <t>50K Account</t>
  </si>
  <si>
    <t>10K Yields</t>
  </si>
  <si>
    <t>85k Yields</t>
  </si>
  <si>
    <t>Bot FTMO</t>
  </si>
  <si>
    <t>2026.01.12 17:12:32</t>
  </si>
  <si>
    <t>2026.01.12 17:58:39</t>
  </si>
  <si>
    <t>2026.01.12 17:26:30</t>
  </si>
  <si>
    <t>2026.01.12 17:32:21</t>
  </si>
  <si>
    <t>2026.01.12 17:33:50</t>
  </si>
  <si>
    <t>2026.01.12 17:57:30</t>
  </si>
  <si>
    <t>Count of gainPercent</t>
  </si>
  <si>
    <t>Loss</t>
  </si>
  <si>
    <t>(blank)</t>
  </si>
  <si>
    <t>Total Expected</t>
  </si>
  <si>
    <t>Target</t>
  </si>
  <si>
    <t>Move to a 2 bedrom house</t>
  </si>
  <si>
    <t>December</t>
  </si>
  <si>
    <t>Amount/Year Ksh</t>
  </si>
  <si>
    <t>Amount/Year $</t>
  </si>
  <si>
    <t>Bal Months</t>
  </si>
  <si>
    <t>Amount/Month</t>
  </si>
  <si>
    <t>Amount/Day</t>
  </si>
  <si>
    <t>Monthly Expenses</t>
  </si>
  <si>
    <t>Goals 2027</t>
  </si>
  <si>
    <t>Goals 2028</t>
  </si>
  <si>
    <t>Buy Settlement Land</t>
  </si>
  <si>
    <t>Buy New Car - 7 seater</t>
  </si>
  <si>
    <t>Goals 2029</t>
  </si>
  <si>
    <t>Goals 2030</t>
  </si>
  <si>
    <t>Build Dream Home</t>
  </si>
  <si>
    <t>June</t>
  </si>
  <si>
    <t>Month</t>
  </si>
  <si>
    <t>Account Size</t>
  </si>
  <si>
    <t>Target/Month</t>
  </si>
  <si>
    <t>Target/Day</t>
  </si>
  <si>
    <t>July</t>
  </si>
  <si>
    <t>% Target</t>
  </si>
  <si>
    <t>August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</si>
  <si>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</si>
  <si>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</si>
  <si>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</si>
  <si>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</si>
  <si>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</si>
  <si>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</si>
  <si>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</si>
  <si>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</si>
  <si>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Risk % Ideal/Day</t>
  </si>
  <si>
    <t>Risk % Actual/Day</t>
  </si>
  <si>
    <t>Week 1 -  2</t>
  </si>
  <si>
    <t>Trade to Pass Phase 1 and 2</t>
  </si>
  <si>
    <t>Week 3 - 4</t>
  </si>
  <si>
    <t>Trade to earn from the Funded Account</t>
  </si>
  <si>
    <t>MONTHLY TRADING MODEL</t>
  </si>
  <si>
    <t>Week 1</t>
  </si>
  <si>
    <t>Week 2</t>
  </si>
  <si>
    <t>Pass Phase 1</t>
  </si>
  <si>
    <t>Earn on Funded 50%</t>
  </si>
  <si>
    <t>Week 3 - $237</t>
  </si>
  <si>
    <t>Week 4 - $237</t>
  </si>
  <si>
    <t>Move to a 3 bedrom house</t>
  </si>
  <si>
    <t>COUNT DOWN</t>
  </si>
  <si>
    <t>Position</t>
  </si>
  <si>
    <t>Volume</t>
  </si>
  <si>
    <t>Price</t>
  </si>
  <si>
    <t>S / L</t>
  </si>
  <si>
    <t>T / P</t>
  </si>
  <si>
    <t>Commission</t>
  </si>
  <si>
    <t>Swap</t>
  </si>
  <si>
    <t>Dates</t>
  </si>
  <si>
    <t>Risk Balance</t>
  </si>
  <si>
    <t>TT DD</t>
  </si>
  <si>
    <t>Today's Risk</t>
  </si>
  <si>
    <t>Risk Zone</t>
  </si>
  <si>
    <t>Simulated Loss/Profit</t>
  </si>
  <si>
    <t>1% (If C &gt;$10000)</t>
  </si>
  <si>
    <t>WINNING EDGE 1 TRADE/Day of a Loss; 2 Trades if a Win</t>
  </si>
  <si>
    <t>0.5% (If &gt;$7500 &lt;$9999)</t>
  </si>
  <si>
    <t>0.25% (If C &lt; $7500)</t>
  </si>
  <si>
    <t>Max Risk - Daily %</t>
  </si>
  <si>
    <t>Max Risk - Daily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</si>
</sst>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$-409]#,##0.00_ ;[Red]\-[$$-409]#,##0.00\ "/>
    <numFmt numFmtId="165" formatCode="[$$-409]#,##0_ ;[Red]\-[$$-409]#,##0\ "/>
    <numFmt numFmtId="166" formatCode="_-[$$-540A]* #,##0.00_ ;_-[$$-540A]* \-#,##0.00\ ;_-[$$-540A]* &quot;-&quot;??_ ;_-@_ "/>
    <numFmt numFmtId="167" formatCode="[$$-409]#,##0"/>
    <numFmt numFmtId="168" formatCode="_-&quot;Ksh&quot;* #,##0_-;\-&quot;Ksh&quot;* #,##0_-;_-&quot;Ksh&quot;* &quot;-&quot;??_-;_-@_-"/>
    <numFmt numFmtId="169" formatCode="[$$-409]#,##0.00"/>
    <numFmt numFmtId="170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4">
    <xf numFmtId="0" fontId="0" fillId="0" borderId="0" xfId="0"/>
    <xf numFmtId="14" fontId="0" fillId="0" borderId="0" xfId="0" applyNumberFormat="1"/>
    <xf numFmtId="0" fontId="1" fillId="2" borderId="1" xfId="2" applyBorder="1"/>
    <xf numFmtId="164" fontId="1" fillId="2" borderId="1" xfId="2" applyNumberFormat="1" applyBorder="1"/>
    <xf numFmtId="164" fontId="0" fillId="0" borderId="0" xfId="0" applyNumberFormat="1"/>
    <xf numFmtId="0" fontId="1" fillId="3" borderId="1" xfId="3" applyBorder="1"/>
    <xf numFmtId="0" fontId="0" fillId="3" borderId="1" xfId="3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4" borderId="0" xfId="0" applyFill="1" applyBorder="1"/>
    <xf numFmtId="0" fontId="0" fillId="4" borderId="0" xfId="0" applyFill="1"/>
    <xf numFmtId="0" fontId="0" fillId="4" borderId="0" xfId="0" applyFill="1" applyAlignment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2" borderId="1" xfId="2" applyFont="1" applyBorder="1"/>
    <xf numFmtId="164" fontId="0" fillId="2" borderId="1" xfId="2" applyNumberFormat="1" applyFont="1" applyBorder="1"/>
    <xf numFmtId="0" fontId="0" fillId="4" borderId="0" xfId="0" applyNumberFormat="1" applyFill="1"/>
    <xf numFmtId="166" fontId="0" fillId="0" borderId="0" xfId="0" applyNumberFormat="1"/>
    <xf numFmtId="166" fontId="0" fillId="5" borderId="0" xfId="0" applyNumberFormat="1" applyFill="1"/>
    <xf numFmtId="0" fontId="0" fillId="6" borderId="0" xfId="0" applyFill="1"/>
    <xf numFmtId="166" fontId="0" fillId="6" borderId="0" xfId="0" applyNumberFormat="1" applyFill="1"/>
    <xf numFmtId="14" fontId="0" fillId="4" borderId="0" xfId="0" applyNumberFormat="1" applyFill="1"/>
    <xf numFmtId="166" fontId="0" fillId="4" borderId="0" xfId="0" applyNumberFormat="1" applyFill="1"/>
    <xf numFmtId="14" fontId="0" fillId="7" borderId="0" xfId="0" applyNumberFormat="1" applyFill="1"/>
    <xf numFmtId="166" fontId="0" fillId="7" borderId="0" xfId="0" applyNumberFormat="1" applyFill="1"/>
    <xf numFmtId="14" fontId="0" fillId="8" borderId="0" xfId="0" applyNumberFormat="1" applyFill="1"/>
    <xf numFmtId="166" fontId="0" fillId="8" borderId="0" xfId="0" applyNumberFormat="1" applyFill="1"/>
    <xf numFmtId="0" fontId="0" fillId="9" borderId="0" xfId="0" applyFill="1"/>
    <xf numFmtId="166" fontId="0" fillId="9" borderId="0" xfId="0" applyNumberFormat="1" applyFill="1"/>
    <xf numFmtId="14" fontId="0" fillId="10" borderId="0" xfId="0" applyNumberFormat="1" applyFill="1"/>
    <xf numFmtId="166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166" fontId="0" fillId="11" borderId="0" xfId="0" applyNumberFormat="1" applyFill="1"/>
    <xf numFmtId="0" fontId="0" fillId="0" borderId="0" xfId="0" applyAlignment="1">
      <alignment wrapText="1"/>
    </xf>
    <xf numFmtId="0" fontId="0" fillId="12" borderId="0" xfId="0" applyFill="1"/>
    <xf numFmtId="14" fontId="0" fillId="12" borderId="0" xfId="0" applyNumberFormat="1" applyFill="1"/>
    <xf numFmtId="166" fontId="0" fillId="12" borderId="0" xfId="0" applyNumberFormat="1" applyFill="1"/>
    <xf numFmtId="0" fontId="4" fillId="13" borderId="0" xfId="0" applyFont="1" applyFill="1"/>
    <xf numFmtId="14" fontId="4" fillId="13" borderId="0" xfId="0" applyNumberFormat="1" applyFont="1" applyFill="1"/>
    <xf numFmtId="0" fontId="0" fillId="14" borderId="0" xfId="0" applyFill="1"/>
    <xf numFmtId="14" fontId="0" fillId="14" borderId="0" xfId="0" applyNumberFormat="1" applyFill="1"/>
    <xf numFmtId="166" fontId="0" fillId="14" borderId="0" xfId="0" applyNumberFormat="1" applyFill="1"/>
    <xf numFmtId="0" fontId="0" fillId="7" borderId="0" xfId="0" applyFill="1"/>
    <xf numFmtId="166" fontId="0" fillId="15" borderId="0" xfId="0" applyNumberFormat="1" applyFill="1"/>
    <xf numFmtId="0" fontId="0" fillId="8" borderId="0" xfId="0" applyFill="1"/>
    <xf numFmtId="0" fontId="0" fillId="10" borderId="0" xfId="0" applyFill="1"/>
    <xf numFmtId="9" fontId="0" fillId="0" borderId="0" xfId="1" applyFont="1"/>
    <xf numFmtId="21" fontId="0" fillId="0" borderId="0" xfId="0" applyNumberFormat="1"/>
    <xf numFmtId="14" fontId="1" fillId="2" borderId="1" xfId="2" applyNumberFormat="1" applyBorder="1"/>
    <xf numFmtId="0" fontId="0" fillId="5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7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5" fillId="0" borderId="0" xfId="0" applyFont="1"/>
    <xf numFmtId="168" fontId="5" fillId="0" borderId="0" xfId="0" applyNumberFormat="1" applyFont="1"/>
    <xf numFmtId="169" fontId="5" fillId="0" borderId="0" xfId="0" applyNumberFormat="1" applyFont="1"/>
    <xf numFmtId="167" fontId="5" fillId="0" borderId="0" xfId="0" applyNumberFormat="1" applyFont="1"/>
    <xf numFmtId="10" fontId="0" fillId="0" borderId="0" xfId="1" applyNumberFormat="1" applyFont="1"/>
    <xf numFmtId="2" fontId="0" fillId="0" borderId="0" xfId="1" applyNumberFormat="1" applyFont="1"/>
    <xf numFmtId="0" fontId="6" fillId="0" borderId="0" xfId="0" applyFont="1"/>
    <xf numFmtId="0" fontId="0" fillId="0" borderId="0" xfId="0"/>
    <xf numFmtId="0" fontId="0" fillId="4" borderId="0" xfId="0" applyFill="1"/>
    <xf numFmtId="1" fontId="0" fillId="0" borderId="0" xfId="0" applyNumberFormat="1"/>
    <xf numFmtId="0" fontId="5" fillId="5" borderId="0" xfId="0" applyFont="1" applyFill="1"/>
    <xf numFmtId="14" fontId="5" fillId="5" borderId="0" xfId="0" applyNumberFormat="1" applyFont="1" applyFill="1"/>
    <xf numFmtId="1" fontId="5" fillId="5" borderId="0" xfId="0" applyNumberFormat="1" applyFont="1" applyFill="1"/>
    <xf numFmtId="0" fontId="0" fillId="0" borderId="0" xfId="0" applyAlignment="1">
      <alignment wrapText="1"/>
    </xf>
    <xf numFmtId="0" fontId="0" fillId="0" borderId="0" xfId="0"/>
    <xf numFmtId="9" fontId="0" fillId="8" borderId="0" xfId="0" applyNumberFormat="1" applyFill="1" applyAlignment="1">
      <alignment wrapText="1"/>
    </xf>
    <xf numFmtId="10" fontId="0" fillId="5" borderId="0" xfId="0" applyNumberFormat="1" applyFill="1" applyAlignment="1">
      <alignment wrapText="1"/>
    </xf>
    <xf numFmtId="10" fontId="0" fillId="16" borderId="0" xfId="0" applyNumberFormat="1" applyFill="1" applyAlignment="1">
      <alignment wrapText="1"/>
    </xf>
    <xf numFmtId="10" fontId="0" fillId="0" borderId="0" xfId="1" applyNumberFormat="1" applyFont="1" applyAlignment="1"/>
    <xf numFmtId="170" fontId="0" fillId="0" borderId="0" xfId="0" applyNumberFormat="1" applyAlignment="1">
      <alignment horizontal="left" vertical="top"/>
    </xf>
    <xf numFmtId="0" fontId="0" fillId="4" borderId="1" xfId="0" applyFill="1" applyBorder="1" applyAlignment="1">
      <alignment horizontal="center"/>
    </xf>
    <xf numFmtId="10" fontId="3" fillId="4" borderId="0" xfId="1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2" fontId="3" fillId="4" borderId="0" xfId="1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/>
  </cellXfs>
  <cellStyles count="4">
    <cellStyle name="60% - Accent1" xfId="2" builtinId="32"/>
    <cellStyle name="60% - Accent2" xfId="3" builtinId="36"/>
    <cellStyle name="Normal" xfId="0" builtinId="0"/>
    <cellStyle name="Percent" xfId="1" builtinId="5"/>
  </cellStyles>
  <dxfs count="8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Competition.xlsx]Pivots!PivotTable1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Daily PnL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Pivots!$A$3:$A$4</c:f>
              <c:strCache>
                <c:ptCount val="2"/>
                <c:pt idx="0">
                  <c:v>(blank)</c:v>
                </c:pt>
                <c:pt idx="1">
                  <c:v>0</c:v>
                </c:pt>
              </c:strCache>
            </c:strRef>
          </c:cat>
          <c:val>
            <c:numRef>
              <c:f>Pivots!$B$3:$B$4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407592"/>
        <c:axId val="145407984"/>
      </c:barChart>
      <c:catAx>
        <c:axId val="14540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7984"/>
        <c:crosses val="autoZero"/>
        <c:auto val="1"/>
        <c:lblAlgn val="ctr"/>
        <c:lblOffset val="100"/>
        <c:noMultiLvlLbl val="0"/>
      </c:catAx>
      <c:valAx>
        <c:axId val="1454079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407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[2026 Competition.xlsx]Pivots!PivotTable3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Accumulated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0058430196225472E-2"/>
          <c:y val="0.1740956183392193"/>
          <c:w val="0.94406855393075861"/>
          <c:h val="0.76140614745132351"/>
        </c:manualLayout>
      </c:layout>
      <c:lineChart>
        <c:grouping val="standard"/>
        <c:varyColors val="0"/>
        <c:ser>
          <c:idx val="0"/>
          <c:order val="0"/>
          <c:tx>
            <c:strRef>
              <c:f>Pivots!$E$2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Pivots!$D$3:$D$5</c:f>
              <c:strCache>
                <c:ptCount val="2"/>
                <c:pt idx="0">
                  <c:v>(blank)</c:v>
                </c:pt>
                <c:pt idx="1">
                  <c:v>0</c:v>
                </c:pt>
              </c:strCache>
            </c:strRef>
          </c:cat>
          <c:val>
            <c:numRef>
              <c:f>Pivots!$E$3:$E$5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07200"/>
        <c:axId val="145399752"/>
      </c:lineChart>
      <c:catAx>
        <c:axId val="1454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9752"/>
        <c:crosses val="autoZero"/>
        <c:auto val="1"/>
        <c:lblAlgn val="ctr"/>
        <c:lblOffset val="100"/>
        <c:noMultiLvlLbl val="0"/>
      </c:catAx>
      <c:valAx>
        <c:axId val="14539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Competition.xlsx]Pivots!PivotTable10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Buy/Sell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9A2-4738-8811-4D641A872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A2-4738-8811-4D641A872F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Pivots!$R$3:$R$4</c:f>
              <c:strCache>
                <c:ptCount val="1"/>
                <c:pt idx="0">
                  <c:v>0</c:v>
                </c:pt>
              </c:strCache>
            </c:strRef>
          </c:cat>
          <c:val>
            <c:numRef>
              <c:f>Pivots!$S$3:$S$4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9A2-4738-8811-4D641A87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1653</xdr:rowOff>
    </xdr:from>
    <xdr:to>
      <xdr:col>18</xdr:col>
      <xdr:colOff>0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49C99E8-1092-4429-B77C-7F6A9A5B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14</xdr:col>
      <xdr:colOff>600075</xdr:colOff>
      <xdr:row>21</xdr:row>
      <xdr:rowOff>186447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20D6A9F-A95A-4E3B-8255-BE3EB463E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600077</xdr:colOff>
      <xdr:row>8</xdr:row>
      <xdr:rowOff>0</xdr:rowOff>
    </xdr:from>
    <xdr:to>
      <xdr:col>18</xdr:col>
      <xdr:colOff>1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3EC6505-9673-4BE9-8DA2-98F04AC9D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1.88978391204" createdVersion="6" refreshedVersion="5" minRefreshableVersion="3" recordCount="146">
  <cacheSource type="worksheet">
    <worksheetSource name="trades"/>
  </cacheSource>
  <cacheFields count="34">
    <cacheField name="id" numFmtId="0">
      <sharedItems containsString="0" containsBlank="1" containsNumber="1" containsInteger="1" minValue="0" maxValue="0"/>
    </cacheField>
    <cacheField name="entryDate" numFmtId="14">
      <sharedItems containsNonDate="0" containsDate="1" containsString="0" containsBlank="1" minDate="1899-12-30T00:00:00" maxDate="1899-12-31T00:00:00"/>
    </cacheField>
    <cacheField name="exitDate" numFmtId="14">
      <sharedItems containsNonDate="0" containsDate="1" containsString="0" containsBlank="1" minDate="1899-12-30T00:00:00" maxDate="1899-12-31T00:00:00"/>
    </cacheField>
    <cacheField name="type" numFmtId="0">
      <sharedItems containsString="0" containsBlank="1" containsNumber="1" containsInteger="1" minValue="0" maxValue="0" count="2">
        <n v="0"/>
        <m/>
      </sharedItems>
    </cacheField>
    <cacheField name="symbol" numFmtId="0">
      <sharedItems containsString="0" containsBlank="1" containsNumber="1" containsInteger="1" minValue="0" maxValue="0" count="2">
        <n v="0"/>
        <m/>
      </sharedItems>
    </cacheField>
    <cacheField name="entryPrice" numFmtId="164">
      <sharedItems containsString="0" containsBlank="1" containsNumber="1" containsInteger="1" minValue="0" maxValue="0"/>
    </cacheField>
    <cacheField name="exitPrice" numFmtId="164">
      <sharedItems containsNonDate="0" containsString="0" containsBlank="1"/>
    </cacheField>
    <cacheField name="gainAmount" numFmtId="164">
      <sharedItems containsString="0" containsBlank="1" containsNumber="1" containsInteger="1" minValue="0" maxValue="0"/>
    </cacheField>
    <cacheField name="quantity" numFmtId="0">
      <sharedItems containsString="0" containsBlank="1" containsNumber="1" containsInteger="1" minValue="0" maxValue="0"/>
    </cacheField>
    <cacheField name="fees" numFmtId="164">
      <sharedItems containsString="0" containsBlank="1" containsNumber="1" containsInteger="1" minValue="0" maxValue="0"/>
    </cacheField>
    <cacheField name="gainPercent" numFmtId="0">
      <sharedItems containsString="0" containsBlank="1" containsNumber="1" containsInteger="1" minValue="0" maxValue="0"/>
    </cacheField>
    <cacheField name="Win" numFmtId="0">
      <sharedItems containsBlank="1" containsMixedTypes="1" containsNumber="1" containsInteger="1" minValue="0" maxValue="1" count="4">
        <s v="0"/>
        <m/>
        <n v="0" u="1"/>
        <n v="1" u="1"/>
      </sharedItems>
    </cacheField>
    <cacheField name="tradeCount" numFmtId="0">
      <sharedItems containsString="0" containsBlank="1" containsNumber="1" containsInteger="1" minValue="0" maxValue="0"/>
    </cacheField>
    <cacheField name="entryDateTime" numFmtId="0">
      <sharedItems containsString="0" containsBlank="1" containsNumber="1" containsInteger="1" minValue="0" maxValue="0"/>
    </cacheField>
    <cacheField name="accProfit" numFmtId="0">
      <sharedItems containsString="0" containsBlank="1" containsNumber="1" containsInteger="1" minValue="0" maxValue="0"/>
    </cacheField>
    <cacheField name="Extra2" numFmtId="0">
      <sharedItems containsBlank="1" count="2">
        <s v="0"/>
        <m/>
      </sharedItems>
    </cacheField>
    <cacheField name="Extra3" numFmtId="0">
      <sharedItems containsNonDate="0" containsString="0" containsBlank="1"/>
    </cacheField>
    <cacheField name="Extra4" numFmtId="0">
      <sharedItems containsNonDate="0" containsString="0" containsBlank="1"/>
    </cacheField>
    <cacheField name="Extra5" numFmtId="0">
      <sharedItems containsNonDate="0" containsString="0" containsBlank="1"/>
    </cacheField>
    <cacheField name="Extra6" numFmtId="0">
      <sharedItems containsNonDate="0" containsString="0" containsBlank="1"/>
    </cacheField>
    <cacheField name="Extra7" numFmtId="0">
      <sharedItems containsNonDate="0" containsString="0" containsBlank="1"/>
    </cacheField>
    <cacheField name="Extra8" numFmtId="0">
      <sharedItems containsNonDate="0" containsString="0" containsBlank="1"/>
    </cacheField>
    <cacheField name="Extra9" numFmtId="0">
      <sharedItems containsNonDate="0" containsString="0" containsBlank="1"/>
    </cacheField>
    <cacheField name="Extra10" numFmtId="0">
      <sharedItems containsNonDate="0" containsString="0" containsBlank="1"/>
    </cacheField>
    <cacheField name="Extra11" numFmtId="0">
      <sharedItems containsNonDate="0" containsString="0" containsBlank="1"/>
    </cacheField>
    <cacheField name="Extra12" numFmtId="0">
      <sharedItems containsNonDate="0" containsString="0" containsBlank="1"/>
    </cacheField>
    <cacheField name="Extra13" numFmtId="0">
      <sharedItems containsNonDate="0" containsString="0" containsBlank="1"/>
    </cacheField>
    <cacheField name="Extra14" numFmtId="0">
      <sharedItems containsNonDate="0" containsString="0" containsBlank="1"/>
    </cacheField>
    <cacheField name="Extra15" numFmtId="0">
      <sharedItems containsNonDate="0" containsString="0" containsBlank="1"/>
    </cacheField>
    <cacheField name="Extra16" numFmtId="0">
      <sharedItems containsNonDate="0" containsString="0" containsBlank="1"/>
    </cacheField>
    <cacheField name="Extra17" numFmtId="0">
      <sharedItems containsNonDate="0" containsString="0" containsBlank="1"/>
    </cacheField>
    <cacheField name="Extra18" numFmtId="0">
      <sharedItems containsNonDate="0" containsString="0" containsBlank="1"/>
    </cacheField>
    <cacheField name="Extra19" numFmtId="0">
      <sharedItems containsNonDate="0" containsString="0" containsBlank="1"/>
    </cacheField>
    <cacheField name="Extra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551222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n v="0"/>
    <d v="1899-12-30T00:00:00"/>
    <d v="1899-12-30T00:00:00"/>
    <x v="0"/>
    <x v="0"/>
    <n v="0"/>
    <m/>
    <n v="0"/>
    <n v="0"/>
    <n v="0"/>
    <n v="0"/>
    <x v="0"/>
    <n v="0"/>
    <n v="0"/>
    <n v="0"/>
    <x v="0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1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5:U7" firstHeaderRow="1" firstDataRow="1" firstDataCol="1"/>
  <pivotFields count="34">
    <pivotField showAll="0"/>
    <pivotField showAll="0"/>
    <pivotField showAll="0"/>
    <pivotField showAll="0"/>
    <pivotField axis="axisRow" showAll="0" sortType="descending">
      <items count="3">
        <item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PnL" fld="7" baseField="4" baseItem="40" numFmtId="164"/>
  </dataFields>
  <formats count="10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4" type="button" dataOnly="0" labelOnly="1" outline="0" axis="axisRow" fieldPosition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22:U24" firstHeaderRow="1" firstDataRow="1" firstDataCol="1"/>
  <pivotFields count="34"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Average of gainAmount" fld="7" subtotal="average" baseField="4" baseItem="1"/>
  </dataFields>
  <formats count="10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4" type="button" dataOnly="0" labelOnly="1" outline="0" axis="axisRow" fieldPosition="0"/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4" type="button" dataOnly="0" labelOnly="1" outline="0" axis="axisRow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N2:N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ain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4">
  <location ref="D2:E5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gainAmount" fld="7" baseField="14" baseItem="2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J2:K4" firstHeaderRow="1" firstDataRow="1" firstDataCol="1"/>
  <pivotFields count="34"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Average of gainAmount" fld="7" subtotal="average" baseField="0" baseItem="6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L2:L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gainPercen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8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P2:Q4" firstHeaderRow="1" firstDataRow="1" firstDataCol="1"/>
  <pivotFields count="34">
    <pivotField dataField="1"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6" indent="0" outline="1" outlineData="1" multipleFieldFilters="0" chartFormat="8">
  <location ref="A2:B4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">
    <i>
      <x/>
    </i>
    <i>
      <x v="1"/>
    </i>
  </rowItems>
  <colItems count="1">
    <i/>
  </colItems>
  <dataFields count="1">
    <dataField name="Sum of gainAmount" fld="7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1">
  <location ref="G2:H3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">
    <i t="grand">
      <x/>
    </i>
  </rowItems>
  <colItems count="1">
    <i/>
  </colItems>
  <dataFields count="1">
    <dataField name="Count of id" fld="0" subtotal="count" showDataAs="percentOfTotal" baseField="11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0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3">
  <location ref="R2:S4" firstHeaderRow="1" firstDataRow="1" firstDataCol="1"/>
  <pivotFields count="34">
    <pivotField dataField="1"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Count of id" fld="0" subtotal="count" showDataAs="percentOfTotal" baseField="3" baseItem="0" numFmtId="9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I308" totalsRowShown="0">
  <autoFilter ref="A1:AI308"/>
  <tableColumns count="35">
    <tableColumn id="1" name="id"/>
    <tableColumn id="2" name="entryDate" dataDxfId="60"/>
    <tableColumn id="3" name="exitDate" dataDxfId="59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I308" totalsRowShown="0">
  <autoFilter ref="A1:AI308">
    <filterColumn colId="11">
      <filters>
        <filter val="1"/>
      </filters>
    </filterColumn>
  </autoFilter>
  <tableColumns count="35">
    <tableColumn id="1" name="id"/>
    <tableColumn id="2" name="entryDate" dataDxfId="58"/>
    <tableColumn id="3" name="exitDate" dataDxfId="57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X91"/>
  <sheetViews>
    <sheetView tabSelected="1" zoomScale="80" zoomScaleNormal="80" workbookViewId="0">
      <selection activeCell="M5" sqref="M5:O8"/>
    </sheetView>
  </sheetViews>
  <sheetFormatPr defaultColWidth="9.1796875" defaultRowHeight="14.5" x14ac:dyDescent="0.35"/>
  <cols>
    <col min="1" max="18" width="9.1796875" style="12"/>
    <col min="19" max="19" width="17" style="12" customWidth="1"/>
    <col min="20" max="20" width="11" style="12" customWidth="1"/>
    <col min="21" max="21" width="21.81640625" style="12" customWidth="1"/>
    <col min="22" max="22" width="21.81640625" style="12" bestFit="1" customWidth="1"/>
    <col min="23" max="23" width="9.1796875" style="12"/>
    <col min="24" max="24" width="4.54296875" style="12" customWidth="1"/>
    <col min="25" max="16384" width="9.1796875" style="12"/>
  </cols>
  <sheetData>
    <row r="3" spans="1:2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24" x14ac:dyDescent="0.35">
      <c r="A4" s="85" t="s">
        <v>49</v>
      </c>
      <c r="B4" s="85"/>
      <c r="C4" s="85"/>
      <c r="D4" s="85" t="s">
        <v>45</v>
      </c>
      <c r="E4" s="85"/>
      <c r="F4" s="85"/>
      <c r="G4" s="85" t="s">
        <v>133</v>
      </c>
      <c r="H4" s="85"/>
      <c r="I4" s="85"/>
      <c r="J4" s="85" t="s">
        <v>47</v>
      </c>
      <c r="K4" s="85"/>
      <c r="L4" s="85"/>
      <c r="M4" s="85" t="s">
        <v>61</v>
      </c>
      <c r="N4" s="85"/>
      <c r="O4" s="85"/>
      <c r="P4" s="85" t="s">
        <v>43</v>
      </c>
      <c r="Q4" s="85"/>
      <c r="R4" s="85"/>
      <c r="S4" s="13"/>
      <c r="T4" s="12" t="s">
        <v>51</v>
      </c>
      <c r="V4" s="13"/>
      <c r="W4" s="13"/>
      <c r="X4" s="13"/>
    </row>
    <row r="5" spans="1:24" ht="15" customHeight="1" x14ac:dyDescent="0.35">
      <c r="A5" s="89">
        <f>GETPIVOTDATA("gainAmount",Pivots!$N$2)</f>
        <v>0</v>
      </c>
      <c r="B5" s="89"/>
      <c r="C5" s="89"/>
      <c r="D5" s="90">
        <f>COUNTIF(Trades!L:L,1)</f>
        <v>0</v>
      </c>
      <c r="E5" s="90"/>
      <c r="F5" s="90"/>
      <c r="G5" s="90">
        <f>COUNTIF(Trades!L:L,0)</f>
        <v>1</v>
      </c>
      <c r="H5" s="90"/>
      <c r="I5" s="90"/>
      <c r="J5" s="91">
        <f>GETPIVOTDATA("gainAmount",Pivots!$J$2)</f>
        <v>0</v>
      </c>
      <c r="K5" s="91"/>
      <c r="L5" s="91"/>
      <c r="M5" s="86">
        <f>D5/P5</f>
        <v>0</v>
      </c>
      <c r="N5" s="86"/>
      <c r="O5" s="86"/>
      <c r="P5" s="87">
        <f>D5+G5</f>
        <v>1</v>
      </c>
      <c r="Q5" s="88"/>
      <c r="R5" s="88"/>
      <c r="S5" s="13"/>
      <c r="T5" s="73" t="s">
        <v>50</v>
      </c>
      <c r="U5" s="73" t="s">
        <v>48</v>
      </c>
      <c r="V5" s="13"/>
      <c r="W5" s="13"/>
      <c r="X5" s="13"/>
    </row>
    <row r="6" spans="1:24" ht="15" customHeight="1" x14ac:dyDescent="0.35">
      <c r="A6" s="89"/>
      <c r="B6" s="89"/>
      <c r="C6" s="89"/>
      <c r="D6" s="90"/>
      <c r="E6" s="90"/>
      <c r="F6" s="90"/>
      <c r="G6" s="90"/>
      <c r="H6" s="90"/>
      <c r="I6" s="90"/>
      <c r="J6" s="91"/>
      <c r="K6" s="91"/>
      <c r="L6" s="91"/>
      <c r="M6" s="86"/>
      <c r="N6" s="86"/>
      <c r="O6" s="86"/>
      <c r="P6" s="88"/>
      <c r="Q6" s="88"/>
      <c r="R6" s="88"/>
      <c r="S6" s="13"/>
      <c r="T6" s="14" t="s">
        <v>134</v>
      </c>
      <c r="U6" s="15"/>
      <c r="V6" s="13"/>
      <c r="W6" s="13"/>
      <c r="X6" s="13"/>
    </row>
    <row r="7" spans="1:24" ht="15" customHeight="1" x14ac:dyDescent="0.35">
      <c r="A7" s="89"/>
      <c r="B7" s="89"/>
      <c r="C7" s="89"/>
      <c r="D7" s="90"/>
      <c r="E7" s="90"/>
      <c r="F7" s="90"/>
      <c r="G7" s="90"/>
      <c r="H7" s="90"/>
      <c r="I7" s="90"/>
      <c r="J7" s="91"/>
      <c r="K7" s="91"/>
      <c r="L7" s="91"/>
      <c r="M7" s="86"/>
      <c r="N7" s="86"/>
      <c r="O7" s="86"/>
      <c r="P7" s="88"/>
      <c r="Q7" s="88"/>
      <c r="R7" s="88"/>
      <c r="S7" s="13"/>
      <c r="T7" s="14" t="s">
        <v>34</v>
      </c>
      <c r="U7" s="15"/>
      <c r="V7" s="13"/>
      <c r="W7" s="13"/>
      <c r="X7" s="13"/>
    </row>
    <row r="8" spans="1:24" ht="15" customHeight="1" x14ac:dyDescent="0.35">
      <c r="A8" s="89"/>
      <c r="B8" s="89"/>
      <c r="C8" s="89"/>
      <c r="D8" s="90"/>
      <c r="E8" s="90"/>
      <c r="F8" s="90"/>
      <c r="G8" s="90"/>
      <c r="H8" s="90"/>
      <c r="I8" s="90"/>
      <c r="J8" s="91"/>
      <c r="K8" s="91"/>
      <c r="L8" s="91"/>
      <c r="M8" s="86"/>
      <c r="N8" s="86"/>
      <c r="O8" s="86"/>
      <c r="P8" s="88"/>
      <c r="Q8" s="88"/>
      <c r="R8" s="88"/>
      <c r="S8" s="13"/>
      <c r="T8"/>
      <c r="U8"/>
      <c r="V8" s="13"/>
      <c r="W8" s="13"/>
      <c r="X8" s="13"/>
    </row>
    <row r="9" spans="1:24" x14ac:dyDescent="0.35">
      <c r="T9"/>
      <c r="U9"/>
    </row>
    <row r="10" spans="1:24" x14ac:dyDescent="0.35">
      <c r="T10"/>
      <c r="U10"/>
    </row>
    <row r="11" spans="1:24" x14ac:dyDescent="0.35">
      <c r="T11"/>
      <c r="U11"/>
    </row>
    <row r="12" spans="1:24" x14ac:dyDescent="0.35">
      <c r="T12"/>
      <c r="U12"/>
    </row>
    <row r="13" spans="1:24" x14ac:dyDescent="0.35">
      <c r="T13"/>
      <c r="U13"/>
    </row>
    <row r="14" spans="1:24" x14ac:dyDescent="0.35">
      <c r="T14"/>
      <c r="U14"/>
    </row>
    <row r="15" spans="1:24" x14ac:dyDescent="0.35">
      <c r="T15"/>
      <c r="U15"/>
    </row>
    <row r="16" spans="1:24" x14ac:dyDescent="0.35">
      <c r="T16"/>
      <c r="U16"/>
    </row>
    <row r="21" spans="20:22" x14ac:dyDescent="0.35">
      <c r="T21" s="14" t="s">
        <v>52</v>
      </c>
    </row>
    <row r="22" spans="20:22" x14ac:dyDescent="0.35">
      <c r="T22" s="73" t="s">
        <v>50</v>
      </c>
      <c r="U22" s="73" t="s">
        <v>41</v>
      </c>
      <c r="V22"/>
    </row>
    <row r="23" spans="20:22" x14ac:dyDescent="0.35">
      <c r="T23" s="14" t="s">
        <v>134</v>
      </c>
      <c r="U23" s="18"/>
      <c r="V23"/>
    </row>
    <row r="24" spans="20:22" x14ac:dyDescent="0.35">
      <c r="T24" s="14" t="s">
        <v>34</v>
      </c>
      <c r="U24" s="18"/>
      <c r="V24"/>
    </row>
    <row r="25" spans="20:22" x14ac:dyDescent="0.35">
      <c r="T25"/>
      <c r="U25"/>
      <c r="V25"/>
    </row>
    <row r="26" spans="20:22" x14ac:dyDescent="0.35">
      <c r="T26"/>
      <c r="U26"/>
    </row>
    <row r="27" spans="20:22" x14ac:dyDescent="0.35">
      <c r="T27"/>
      <c r="U27"/>
    </row>
    <row r="28" spans="20:22" x14ac:dyDescent="0.35">
      <c r="T28"/>
      <c r="U28"/>
    </row>
    <row r="29" spans="20:22" x14ac:dyDescent="0.35">
      <c r="T29"/>
      <c r="U29"/>
    </row>
    <row r="30" spans="20:22" x14ac:dyDescent="0.35">
      <c r="T30"/>
      <c r="U30"/>
    </row>
    <row r="31" spans="20:22" x14ac:dyDescent="0.35">
      <c r="T31"/>
      <c r="U31"/>
    </row>
    <row r="32" spans="20:22" x14ac:dyDescent="0.35">
      <c r="T32"/>
      <c r="U32"/>
    </row>
    <row r="33" spans="20:21" x14ac:dyDescent="0.35">
      <c r="T33"/>
      <c r="U33"/>
    </row>
    <row r="34" spans="20:21" x14ac:dyDescent="0.35">
      <c r="T34"/>
      <c r="U34"/>
    </row>
    <row r="35" spans="20:21" x14ac:dyDescent="0.35">
      <c r="T35"/>
      <c r="U35"/>
    </row>
    <row r="36" spans="20:21" x14ac:dyDescent="0.35">
      <c r="T36"/>
      <c r="U36"/>
    </row>
    <row r="37" spans="20:21" x14ac:dyDescent="0.35">
      <c r="T37"/>
      <c r="U37"/>
    </row>
    <row r="38" spans="20:21" x14ac:dyDescent="0.35">
      <c r="T38"/>
      <c r="U38"/>
    </row>
    <row r="39" spans="20:21" x14ac:dyDescent="0.35">
      <c r="T39"/>
      <c r="U39"/>
    </row>
    <row r="40" spans="20:21" x14ac:dyDescent="0.35">
      <c r="T40"/>
      <c r="U40"/>
    </row>
    <row r="41" spans="20:21" x14ac:dyDescent="0.35">
      <c r="T41"/>
      <c r="U41"/>
    </row>
    <row r="42" spans="20:21" x14ac:dyDescent="0.35">
      <c r="T42"/>
      <c r="U42"/>
    </row>
    <row r="43" spans="20:21" x14ac:dyDescent="0.35">
      <c r="T43"/>
      <c r="U43"/>
    </row>
    <row r="44" spans="20:21" x14ac:dyDescent="0.35">
      <c r="T44"/>
      <c r="U44"/>
    </row>
    <row r="45" spans="20:21" x14ac:dyDescent="0.35">
      <c r="T45"/>
      <c r="U45"/>
    </row>
    <row r="46" spans="20:21" x14ac:dyDescent="0.35">
      <c r="T46"/>
      <c r="U46"/>
    </row>
    <row r="47" spans="20:21" x14ac:dyDescent="0.35">
      <c r="T47"/>
      <c r="U47"/>
    </row>
    <row r="48" spans="20:21" x14ac:dyDescent="0.35">
      <c r="T48"/>
      <c r="U48"/>
    </row>
    <row r="49" spans="20:21" x14ac:dyDescent="0.35">
      <c r="T49"/>
      <c r="U49"/>
    </row>
    <row r="50" spans="20:21" x14ac:dyDescent="0.35">
      <c r="T50"/>
      <c r="U50"/>
    </row>
    <row r="51" spans="20:21" x14ac:dyDescent="0.35">
      <c r="T51"/>
      <c r="U51"/>
    </row>
    <row r="52" spans="20:21" x14ac:dyDescent="0.35">
      <c r="T52"/>
      <c r="U52"/>
    </row>
    <row r="53" spans="20:21" x14ac:dyDescent="0.35">
      <c r="T53"/>
      <c r="U53"/>
    </row>
    <row r="54" spans="20:21" x14ac:dyDescent="0.35">
      <c r="T54"/>
      <c r="U54"/>
    </row>
    <row r="55" spans="20:21" x14ac:dyDescent="0.35">
      <c r="T55"/>
      <c r="U55"/>
    </row>
    <row r="56" spans="20:21" x14ac:dyDescent="0.35">
      <c r="T56"/>
      <c r="U56"/>
    </row>
    <row r="57" spans="20:21" x14ac:dyDescent="0.35">
      <c r="T57"/>
      <c r="U57"/>
    </row>
    <row r="58" spans="20:21" x14ac:dyDescent="0.35">
      <c r="T58"/>
      <c r="U58"/>
    </row>
    <row r="59" spans="20:21" x14ac:dyDescent="0.35">
      <c r="T59"/>
      <c r="U59"/>
    </row>
    <row r="60" spans="20:21" x14ac:dyDescent="0.35">
      <c r="T60"/>
      <c r="U60"/>
    </row>
    <row r="61" spans="20:21" x14ac:dyDescent="0.35">
      <c r="T61"/>
      <c r="U61"/>
    </row>
    <row r="62" spans="20:21" x14ac:dyDescent="0.35">
      <c r="T62"/>
      <c r="U62"/>
    </row>
    <row r="63" spans="20:21" x14ac:dyDescent="0.35">
      <c r="T63"/>
      <c r="U63"/>
    </row>
    <row r="64" spans="20:21" x14ac:dyDescent="0.35">
      <c r="T64"/>
      <c r="U64"/>
    </row>
    <row r="65" spans="20:21" x14ac:dyDescent="0.35">
      <c r="T65"/>
      <c r="U65"/>
    </row>
    <row r="66" spans="20:21" x14ac:dyDescent="0.35">
      <c r="T66"/>
      <c r="U66"/>
    </row>
    <row r="67" spans="20:21" x14ac:dyDescent="0.35">
      <c r="T67"/>
      <c r="U67"/>
    </row>
    <row r="68" spans="20:21" x14ac:dyDescent="0.35">
      <c r="T68"/>
      <c r="U68"/>
    </row>
    <row r="69" spans="20:21" x14ac:dyDescent="0.35">
      <c r="T69"/>
      <c r="U69"/>
    </row>
    <row r="70" spans="20:21" x14ac:dyDescent="0.35">
      <c r="T70"/>
      <c r="U70"/>
    </row>
    <row r="71" spans="20:21" x14ac:dyDescent="0.35">
      <c r="T71"/>
      <c r="U71"/>
    </row>
    <row r="72" spans="20:21" x14ac:dyDescent="0.35">
      <c r="T72"/>
      <c r="U72"/>
    </row>
    <row r="73" spans="20:21" x14ac:dyDescent="0.35">
      <c r="T73"/>
      <c r="U73"/>
    </row>
    <row r="74" spans="20:21" x14ac:dyDescent="0.35">
      <c r="T74"/>
      <c r="U74"/>
    </row>
    <row r="75" spans="20:21" x14ac:dyDescent="0.35">
      <c r="T75"/>
      <c r="U75"/>
    </row>
    <row r="76" spans="20:21" x14ac:dyDescent="0.35">
      <c r="T76"/>
      <c r="U76"/>
    </row>
    <row r="77" spans="20:21" x14ac:dyDescent="0.35">
      <c r="T77"/>
      <c r="U77"/>
    </row>
    <row r="78" spans="20:21" x14ac:dyDescent="0.35">
      <c r="T78"/>
      <c r="U78"/>
    </row>
    <row r="79" spans="20:21" x14ac:dyDescent="0.35">
      <c r="T79"/>
      <c r="U79"/>
    </row>
    <row r="80" spans="20:21" x14ac:dyDescent="0.35">
      <c r="T80"/>
      <c r="U80"/>
    </row>
    <row r="81" spans="20:21" x14ac:dyDescent="0.35">
      <c r="T81"/>
      <c r="U81"/>
    </row>
    <row r="82" spans="20:21" x14ac:dyDescent="0.35">
      <c r="T82"/>
      <c r="U82"/>
    </row>
    <row r="83" spans="20:21" x14ac:dyDescent="0.35">
      <c r="T83"/>
      <c r="U83"/>
    </row>
    <row r="84" spans="20:21" x14ac:dyDescent="0.35">
      <c r="T84"/>
      <c r="U84"/>
    </row>
    <row r="85" spans="20:21" x14ac:dyDescent="0.35">
      <c r="T85"/>
      <c r="U85"/>
    </row>
    <row r="86" spans="20:21" x14ac:dyDescent="0.35">
      <c r="T86"/>
      <c r="U86"/>
    </row>
    <row r="87" spans="20:21" x14ac:dyDescent="0.35">
      <c r="T87"/>
      <c r="U87"/>
    </row>
    <row r="88" spans="20:21" x14ac:dyDescent="0.35">
      <c r="T88"/>
      <c r="U88"/>
    </row>
    <row r="89" spans="20:21" x14ac:dyDescent="0.35">
      <c r="T89"/>
      <c r="U89"/>
    </row>
    <row r="90" spans="20:21" x14ac:dyDescent="0.35">
      <c r="T90"/>
      <c r="U90"/>
    </row>
    <row r="91" spans="20:21" x14ac:dyDescent="0.35">
      <c r="T91"/>
      <c r="U91"/>
    </row>
  </sheetData>
  <mergeCells count="12">
    <mergeCell ref="A4:C4"/>
    <mergeCell ref="A5:C8"/>
    <mergeCell ref="D4:F4"/>
    <mergeCell ref="D5:F8"/>
    <mergeCell ref="J5:L8"/>
    <mergeCell ref="G4:I4"/>
    <mergeCell ref="G5:I8"/>
    <mergeCell ref="M4:O4"/>
    <mergeCell ref="J4:L4"/>
    <mergeCell ref="M5:O8"/>
    <mergeCell ref="P4:R4"/>
    <mergeCell ref="P5:R8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5"/>
  <sheetViews>
    <sheetView topLeftCell="J1" workbookViewId="0">
      <selection activeCell="L5" sqref="L5"/>
    </sheetView>
  </sheetViews>
  <sheetFormatPr defaultRowHeight="14.5" x14ac:dyDescent="0.35"/>
  <cols>
    <col min="1" max="1" width="12.36328125" customWidth="1"/>
    <col min="2" max="2" width="17.54296875" customWidth="1"/>
    <col min="4" max="4" width="12.36328125" customWidth="1"/>
    <col min="5" max="5" width="17.54296875" customWidth="1"/>
    <col min="7" max="7" width="12.36328125" customWidth="1"/>
    <col min="8" max="8" width="10.08984375" customWidth="1"/>
    <col min="10" max="10" width="12.36328125" customWidth="1"/>
    <col min="11" max="11" width="20.6328125" bestFit="1" customWidth="1"/>
    <col min="12" max="12" width="18.6328125" customWidth="1"/>
    <col min="13" max="13" width="6.453125" customWidth="1"/>
    <col min="14" max="14" width="17.54296875" customWidth="1"/>
    <col min="16" max="16" width="12.36328125" customWidth="1"/>
    <col min="17" max="17" width="10.08984375" customWidth="1"/>
    <col min="18" max="18" width="12.36328125" customWidth="1"/>
    <col min="19" max="19" width="10.08984375" customWidth="1"/>
  </cols>
  <sheetData>
    <row r="1" spans="1:19" x14ac:dyDescent="0.35">
      <c r="A1" t="s">
        <v>38</v>
      </c>
      <c r="D1" t="s">
        <v>39</v>
      </c>
      <c r="G1" t="s">
        <v>40</v>
      </c>
      <c r="J1" t="s">
        <v>46</v>
      </c>
      <c r="N1" t="s">
        <v>42</v>
      </c>
      <c r="P1" t="s">
        <v>43</v>
      </c>
      <c r="R1" t="s">
        <v>44</v>
      </c>
    </row>
    <row r="2" spans="1:19" x14ac:dyDescent="0.35">
      <c r="A2" s="7" t="s">
        <v>33</v>
      </c>
      <c r="B2" t="s">
        <v>35</v>
      </c>
      <c r="D2" s="7" t="s">
        <v>33</v>
      </c>
      <c r="E2" t="s">
        <v>35</v>
      </c>
      <c r="G2" s="7" t="s">
        <v>33</v>
      </c>
      <c r="H2" t="s">
        <v>36</v>
      </c>
      <c r="J2" s="7" t="s">
        <v>33</v>
      </c>
      <c r="K2" t="s">
        <v>41</v>
      </c>
      <c r="L2" t="s">
        <v>132</v>
      </c>
      <c r="N2" t="s">
        <v>35</v>
      </c>
      <c r="P2" s="7" t="s">
        <v>33</v>
      </c>
      <c r="Q2" t="s">
        <v>36</v>
      </c>
      <c r="R2" s="7" t="s">
        <v>33</v>
      </c>
      <c r="S2" t="s">
        <v>36</v>
      </c>
    </row>
    <row r="3" spans="1:19" x14ac:dyDescent="0.35">
      <c r="A3" s="8" t="s">
        <v>134</v>
      </c>
      <c r="B3" s="9"/>
      <c r="D3" s="8" t="s">
        <v>134</v>
      </c>
      <c r="E3" s="9"/>
      <c r="G3" s="8" t="s">
        <v>34</v>
      </c>
      <c r="H3" s="10" t="e">
        <v>#DIV/0!</v>
      </c>
      <c r="J3" s="8">
        <v>0</v>
      </c>
      <c r="K3" s="4">
        <v>0</v>
      </c>
      <c r="L3" s="9">
        <v>14</v>
      </c>
      <c r="N3" s="4">
        <v>0</v>
      </c>
      <c r="P3" s="8">
        <v>0</v>
      </c>
      <c r="Q3" s="9">
        <v>14</v>
      </c>
      <c r="R3" s="8">
        <v>0</v>
      </c>
      <c r="S3" s="10">
        <v>1</v>
      </c>
    </row>
    <row r="4" spans="1:19" x14ac:dyDescent="0.35">
      <c r="A4" s="8" t="s">
        <v>60</v>
      </c>
      <c r="B4" s="9">
        <v>0</v>
      </c>
      <c r="D4" s="8" t="s">
        <v>60</v>
      </c>
      <c r="E4" s="9">
        <v>0</v>
      </c>
      <c r="J4" s="8" t="s">
        <v>34</v>
      </c>
      <c r="K4" s="4">
        <v>0</v>
      </c>
      <c r="P4" s="8" t="s">
        <v>34</v>
      </c>
      <c r="Q4" s="9">
        <v>14</v>
      </c>
      <c r="R4" s="8" t="s">
        <v>34</v>
      </c>
      <c r="S4" s="10">
        <v>1</v>
      </c>
    </row>
    <row r="5" spans="1:19" x14ac:dyDescent="0.35">
      <c r="D5" s="8" t="s">
        <v>34</v>
      </c>
      <c r="E5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A2" sqref="A2:M15"/>
    </sheetView>
  </sheetViews>
  <sheetFormatPr defaultRowHeight="14.5" x14ac:dyDescent="0.35"/>
  <sheetData>
    <row r="1" spans="1:13" s="72" customFormat="1" x14ac:dyDescent="0.35">
      <c r="A1" s="72" t="s">
        <v>53</v>
      </c>
      <c r="B1" s="72" t="s">
        <v>183</v>
      </c>
      <c r="C1" s="72" t="s">
        <v>50</v>
      </c>
      <c r="D1" s="72" t="s">
        <v>54</v>
      </c>
      <c r="E1" s="72" t="s">
        <v>184</v>
      </c>
      <c r="F1" s="72" t="s">
        <v>185</v>
      </c>
      <c r="G1" s="72" t="s">
        <v>186</v>
      </c>
      <c r="H1" s="72" t="s">
        <v>187</v>
      </c>
      <c r="I1" s="72" t="s">
        <v>53</v>
      </c>
      <c r="J1" s="72" t="s">
        <v>185</v>
      </c>
      <c r="K1" s="72" t="s">
        <v>188</v>
      </c>
      <c r="L1" s="72" t="s">
        <v>189</v>
      </c>
      <c r="M1" s="7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H146"/>
  <sheetViews>
    <sheetView zoomScale="85" zoomScaleNormal="85" workbookViewId="0">
      <pane ySplit="1" topLeftCell="A2" activePane="bottomLeft" state="frozen"/>
      <selection activeCell="D1" sqref="D1"/>
      <selection pane="bottomLeft" activeCell="F10" sqref="F10"/>
    </sheetView>
  </sheetViews>
  <sheetFormatPr defaultRowHeight="14.5" x14ac:dyDescent="0.35"/>
  <cols>
    <col min="1" max="1" width="11.7265625" customWidth="1"/>
    <col min="2" max="2" width="15.26953125" style="1" customWidth="1"/>
    <col min="3" max="3" width="16.54296875" style="1" customWidth="1"/>
    <col min="5" max="5" width="11.7265625" bestFit="1" customWidth="1"/>
    <col min="6" max="6" width="16" style="4" customWidth="1"/>
    <col min="7" max="7" width="12.7265625" style="4" customWidth="1"/>
    <col min="8" max="8" width="13.7265625" style="4" customWidth="1"/>
    <col min="9" max="9" width="12.7265625" customWidth="1"/>
    <col min="10" max="10" width="12.1796875" style="4" customWidth="1"/>
    <col min="11" max="11" width="16.26953125" customWidth="1"/>
    <col min="13" max="13" width="10.26953125" bestFit="1" customWidth="1"/>
    <col min="14" max="14" width="26" customWidth="1"/>
    <col min="16" max="16" width="10.54296875" bestFit="1" customWidth="1"/>
    <col min="17" max="34" width="8.7265625" customWidth="1"/>
  </cols>
  <sheetData>
    <row r="1" spans="1:34" x14ac:dyDescent="0.35">
      <c r="A1" s="2" t="s">
        <v>0</v>
      </c>
      <c r="B1" s="51" t="s">
        <v>1</v>
      </c>
      <c r="C1" s="5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7" t="s">
        <v>7</v>
      </c>
      <c r="I1" s="16" t="s">
        <v>8</v>
      </c>
      <c r="J1" s="3" t="s">
        <v>9</v>
      </c>
      <c r="K1" s="16" t="s">
        <v>10</v>
      </c>
      <c r="L1" s="16" t="s">
        <v>59</v>
      </c>
      <c r="M1" s="16" t="s">
        <v>11</v>
      </c>
      <c r="N1" s="2" t="s">
        <v>12</v>
      </c>
      <c r="O1" s="6" t="s">
        <v>37</v>
      </c>
      <c r="P1" s="6" t="s">
        <v>14</v>
      </c>
      <c r="Q1" s="5" t="s">
        <v>15</v>
      </c>
      <c r="R1" s="6" t="s">
        <v>16</v>
      </c>
      <c r="S1" s="5" t="s">
        <v>17</v>
      </c>
      <c r="T1" s="6" t="s">
        <v>18</v>
      </c>
      <c r="U1" s="5" t="s">
        <v>19</v>
      </c>
      <c r="V1" s="6" t="s">
        <v>20</v>
      </c>
      <c r="W1" s="5" t="s">
        <v>21</v>
      </c>
      <c r="X1" s="6" t="s">
        <v>22</v>
      </c>
      <c r="Y1" s="5" t="s">
        <v>23</v>
      </c>
      <c r="Z1" s="6" t="s">
        <v>24</v>
      </c>
      <c r="AA1" s="5" t="s">
        <v>25</v>
      </c>
      <c r="AB1" s="6" t="s">
        <v>26</v>
      </c>
      <c r="AC1" s="5" t="s">
        <v>27</v>
      </c>
      <c r="AD1" s="6" t="s">
        <v>28</v>
      </c>
      <c r="AE1" s="5" t="s">
        <v>29</v>
      </c>
      <c r="AF1" s="6" t="s">
        <v>30</v>
      </c>
      <c r="AG1" s="5" t="s">
        <v>31</v>
      </c>
      <c r="AH1" s="6" t="s">
        <v>32</v>
      </c>
    </row>
    <row r="2" spans="1:34" x14ac:dyDescent="0.35">
      <c r="A2">
        <f>Raw!B2</f>
        <v>0</v>
      </c>
      <c r="B2" s="1">
        <f>Raw!A2</f>
        <v>0</v>
      </c>
      <c r="C2" s="1">
        <f>Raw!I2</f>
        <v>0</v>
      </c>
      <c r="D2">
        <f>Raw!D2</f>
        <v>0</v>
      </c>
      <c r="E2">
        <f>Raw!C2</f>
        <v>0</v>
      </c>
      <c r="F2" s="4">
        <f>Raw!F2</f>
        <v>0</v>
      </c>
      <c r="H2" s="4">
        <f>O2+J2</f>
        <v>0</v>
      </c>
      <c r="I2">
        <f>Raw!E2</f>
        <v>0</v>
      </c>
      <c r="J2" s="4">
        <f>Raw!K2</f>
        <v>0</v>
      </c>
      <c r="K2" s="69">
        <f>H2/10000</f>
        <v>0</v>
      </c>
      <c r="L2" t="str">
        <f>IF(H2&gt;0,"1","0")</f>
        <v>0</v>
      </c>
      <c r="M2">
        <f>COUNT(Raw!M2)</f>
        <v>0</v>
      </c>
      <c r="N2">
        <f>Raw!A2</f>
        <v>0</v>
      </c>
      <c r="O2" s="4">
        <f>Raw!M2+Raw!K2</f>
        <v>0</v>
      </c>
      <c r="P2" s="72" t="str">
        <f t="shared" ref="P2:P15" si="0">LEFT(B2,10)</f>
        <v>0</v>
      </c>
    </row>
    <row r="3" spans="1:34" x14ac:dyDescent="0.35">
      <c r="A3" s="72"/>
      <c r="D3" s="72"/>
      <c r="E3" s="72"/>
      <c r="I3" s="72"/>
      <c r="K3" s="69"/>
      <c r="L3" s="72"/>
      <c r="M3" s="72"/>
      <c r="N3" s="72"/>
      <c r="O3" s="4"/>
      <c r="P3" s="72" t="str">
        <f t="shared" si="0"/>
        <v/>
      </c>
    </row>
    <row r="4" spans="1:34" x14ac:dyDescent="0.35">
      <c r="A4" s="72"/>
      <c r="D4" s="72"/>
      <c r="E4" s="72"/>
      <c r="I4" s="72"/>
      <c r="K4" s="69"/>
      <c r="L4" s="72"/>
      <c r="M4" s="72"/>
      <c r="N4" s="72"/>
      <c r="O4" s="4"/>
      <c r="P4" s="72" t="str">
        <f t="shared" si="0"/>
        <v/>
      </c>
    </row>
    <row r="5" spans="1:34" x14ac:dyDescent="0.35">
      <c r="A5" s="72"/>
      <c r="D5" s="72"/>
      <c r="E5" s="72"/>
      <c r="I5" s="72"/>
      <c r="K5" s="69"/>
      <c r="L5" s="72"/>
      <c r="M5" s="72"/>
      <c r="N5" s="72"/>
      <c r="O5" s="4"/>
      <c r="P5" s="72" t="str">
        <f t="shared" si="0"/>
        <v/>
      </c>
    </row>
    <row r="6" spans="1:34" x14ac:dyDescent="0.35">
      <c r="A6" s="72"/>
      <c r="D6" s="72"/>
      <c r="E6" s="72"/>
      <c r="I6" s="72"/>
      <c r="K6" s="69"/>
      <c r="L6" s="72"/>
      <c r="M6" s="72"/>
      <c r="N6" s="72"/>
      <c r="O6" s="4"/>
      <c r="P6" s="72" t="str">
        <f t="shared" si="0"/>
        <v/>
      </c>
    </row>
    <row r="7" spans="1:34" x14ac:dyDescent="0.35">
      <c r="A7" s="72"/>
      <c r="D7" s="72"/>
      <c r="E7" s="72"/>
      <c r="I7" s="72"/>
      <c r="K7" s="69"/>
      <c r="L7" s="72"/>
      <c r="M7" s="72"/>
      <c r="N7" s="72"/>
      <c r="O7" s="4"/>
      <c r="P7" s="72" t="str">
        <f t="shared" si="0"/>
        <v/>
      </c>
    </row>
    <row r="8" spans="1:34" x14ac:dyDescent="0.35">
      <c r="A8" s="72"/>
      <c r="D8" s="72"/>
      <c r="E8" s="72"/>
      <c r="I8" s="72"/>
      <c r="K8" s="69"/>
      <c r="L8" s="72"/>
      <c r="M8" s="72"/>
      <c r="N8" s="72"/>
      <c r="O8" s="4"/>
      <c r="P8" s="72" t="str">
        <f t="shared" si="0"/>
        <v/>
      </c>
    </row>
    <row r="9" spans="1:34" x14ac:dyDescent="0.35">
      <c r="A9" s="72"/>
      <c r="D9" s="72"/>
      <c r="E9" s="72"/>
      <c r="I9" s="72"/>
      <c r="K9" s="69"/>
      <c r="L9" s="72"/>
      <c r="M9" s="72"/>
      <c r="N9" s="72"/>
      <c r="O9" s="4"/>
      <c r="P9" s="72" t="str">
        <f t="shared" si="0"/>
        <v/>
      </c>
    </row>
    <row r="10" spans="1:34" x14ac:dyDescent="0.35">
      <c r="A10" s="72"/>
      <c r="D10" s="72"/>
      <c r="E10" s="72"/>
      <c r="I10" s="72"/>
      <c r="K10" s="69"/>
      <c r="L10" s="72"/>
      <c r="M10" s="72"/>
      <c r="N10" s="72"/>
      <c r="O10" s="4"/>
      <c r="P10" s="72" t="str">
        <f t="shared" si="0"/>
        <v/>
      </c>
    </row>
    <row r="11" spans="1:34" x14ac:dyDescent="0.35">
      <c r="A11" s="72"/>
      <c r="D11" s="72"/>
      <c r="E11" s="72"/>
      <c r="I11" s="72"/>
      <c r="K11" s="69"/>
      <c r="L11" s="72"/>
      <c r="M11" s="72"/>
      <c r="N11" s="72"/>
      <c r="O11" s="4"/>
      <c r="P11" s="72" t="str">
        <f t="shared" si="0"/>
        <v/>
      </c>
    </row>
    <row r="12" spans="1:34" x14ac:dyDescent="0.35">
      <c r="A12" s="72"/>
      <c r="D12" s="72"/>
      <c r="E12" s="72"/>
      <c r="I12" s="72"/>
      <c r="K12" s="69"/>
      <c r="L12" s="72"/>
      <c r="M12" s="72"/>
      <c r="N12" s="72"/>
      <c r="O12" s="4"/>
      <c r="P12" s="72" t="str">
        <f t="shared" si="0"/>
        <v/>
      </c>
    </row>
    <row r="13" spans="1:34" x14ac:dyDescent="0.35">
      <c r="A13" s="72"/>
      <c r="D13" s="72"/>
      <c r="E13" s="72"/>
      <c r="I13" s="72"/>
      <c r="K13" s="69"/>
      <c r="L13" s="72"/>
      <c r="M13" s="72"/>
      <c r="N13" s="72"/>
      <c r="O13" s="4"/>
      <c r="P13" s="72" t="str">
        <f t="shared" si="0"/>
        <v/>
      </c>
    </row>
    <row r="14" spans="1:34" x14ac:dyDescent="0.35">
      <c r="A14" s="72"/>
      <c r="D14" s="72"/>
      <c r="E14" s="72"/>
      <c r="I14" s="72"/>
      <c r="K14" s="69"/>
      <c r="L14" s="72"/>
      <c r="M14" s="72"/>
      <c r="N14" s="72"/>
      <c r="O14" s="4"/>
      <c r="P14" s="72" t="str">
        <f t="shared" si="0"/>
        <v/>
      </c>
    </row>
    <row r="15" spans="1:34" x14ac:dyDescent="0.35">
      <c r="A15" s="72"/>
      <c r="D15" s="72"/>
      <c r="E15" s="72"/>
      <c r="I15" s="72"/>
      <c r="K15" s="69"/>
      <c r="L15" s="72"/>
      <c r="M15" s="72"/>
      <c r="N15" s="72"/>
      <c r="O15" s="4"/>
      <c r="P15" s="72" t="str">
        <f t="shared" si="0"/>
        <v/>
      </c>
    </row>
    <row r="16" spans="1:34" x14ac:dyDescent="0.35">
      <c r="I16" s="56"/>
      <c r="O16" s="4"/>
    </row>
    <row r="17" spans="1:15" x14ac:dyDescent="0.35">
      <c r="I17" s="56"/>
      <c r="O17" s="4"/>
    </row>
    <row r="18" spans="1:15" x14ac:dyDescent="0.35">
      <c r="I18" s="56"/>
      <c r="O18" s="4"/>
    </row>
    <row r="19" spans="1:15" x14ac:dyDescent="0.35">
      <c r="I19" s="56"/>
      <c r="O19" s="4"/>
    </row>
    <row r="20" spans="1:15" x14ac:dyDescent="0.35">
      <c r="I20" s="56"/>
      <c r="O20" s="4"/>
    </row>
    <row r="21" spans="1:15" x14ac:dyDescent="0.35">
      <c r="I21" s="56"/>
      <c r="O21" s="4"/>
    </row>
    <row r="22" spans="1:15" x14ac:dyDescent="0.35">
      <c r="I22" s="56"/>
      <c r="O22" s="4"/>
    </row>
    <row r="23" spans="1:15" x14ac:dyDescent="0.35">
      <c r="I23" s="56"/>
      <c r="O23" s="4"/>
    </row>
    <row r="24" spans="1:15" x14ac:dyDescent="0.35">
      <c r="A24" s="53"/>
      <c r="D24" s="53"/>
      <c r="E24" s="53"/>
      <c r="I24" s="56"/>
      <c r="K24" s="53"/>
      <c r="L24" s="53"/>
      <c r="M24" s="53"/>
      <c r="N24" s="53"/>
      <c r="O24" s="4"/>
    </row>
    <row r="25" spans="1:15" x14ac:dyDescent="0.35">
      <c r="A25" s="54"/>
      <c r="D25" s="54"/>
      <c r="E25" s="54"/>
      <c r="I25" s="56"/>
      <c r="K25" s="54"/>
      <c r="L25" s="54"/>
      <c r="M25" s="54"/>
      <c r="N25" s="54"/>
      <c r="O25" s="4"/>
    </row>
    <row r="26" spans="1:15" x14ac:dyDescent="0.35">
      <c r="A26" s="54"/>
      <c r="D26" s="54"/>
      <c r="E26" s="54"/>
      <c r="I26" s="56"/>
      <c r="K26" s="54"/>
      <c r="L26" s="54"/>
      <c r="M26" s="54"/>
      <c r="N26" s="54"/>
      <c r="O26" s="4"/>
    </row>
    <row r="27" spans="1:15" x14ac:dyDescent="0.35">
      <c r="A27" s="55"/>
      <c r="D27" s="55"/>
      <c r="E27" s="55"/>
      <c r="I27" s="56"/>
      <c r="K27" s="55"/>
      <c r="L27" s="55"/>
      <c r="M27" s="55"/>
      <c r="N27" s="55"/>
      <c r="O27" s="4"/>
    </row>
    <row r="28" spans="1:15" x14ac:dyDescent="0.35">
      <c r="A28" s="55"/>
      <c r="D28" s="55"/>
      <c r="E28" s="55"/>
      <c r="I28" s="56"/>
      <c r="K28" s="55"/>
      <c r="L28" s="55"/>
      <c r="M28" s="55"/>
      <c r="N28" s="55"/>
      <c r="O28" s="4"/>
    </row>
    <row r="29" spans="1:15" x14ac:dyDescent="0.35">
      <c r="A29" s="55"/>
      <c r="D29" s="55"/>
      <c r="E29" s="55"/>
      <c r="I29" s="56"/>
      <c r="K29" s="55"/>
      <c r="L29" s="55"/>
      <c r="M29" s="55"/>
      <c r="N29" s="55"/>
      <c r="O29" s="4"/>
    </row>
    <row r="30" spans="1:15" x14ac:dyDescent="0.35">
      <c r="A30" s="55"/>
      <c r="D30" s="55"/>
      <c r="E30" s="55"/>
      <c r="I30" s="56"/>
      <c r="K30" s="55"/>
      <c r="L30" s="55"/>
      <c r="M30" s="55"/>
      <c r="N30" s="55"/>
      <c r="O30" s="4"/>
    </row>
    <row r="31" spans="1:15" x14ac:dyDescent="0.35">
      <c r="A31" s="55"/>
      <c r="D31" s="55"/>
      <c r="E31" s="55"/>
      <c r="I31" s="56"/>
      <c r="K31" s="55"/>
      <c r="L31" s="55"/>
      <c r="M31" s="55"/>
      <c r="N31" s="55"/>
      <c r="O31" s="4"/>
    </row>
    <row r="32" spans="1:15" x14ac:dyDescent="0.35">
      <c r="A32" s="55"/>
      <c r="D32" s="55"/>
      <c r="E32" s="55"/>
      <c r="I32" s="56"/>
      <c r="K32" s="55"/>
      <c r="L32" s="55"/>
      <c r="M32" s="55"/>
      <c r="N32" s="55"/>
      <c r="O32" s="4"/>
    </row>
    <row r="33" spans="1:15" x14ac:dyDescent="0.35">
      <c r="A33" s="56"/>
      <c r="D33" s="56"/>
      <c r="E33" s="56"/>
      <c r="I33" s="56"/>
      <c r="K33" s="56"/>
      <c r="L33" s="56"/>
      <c r="M33" s="56"/>
      <c r="N33" s="56"/>
      <c r="O33" s="4"/>
    </row>
    <row r="34" spans="1:15" x14ac:dyDescent="0.35">
      <c r="A34" s="56"/>
      <c r="D34" s="56"/>
      <c r="E34" s="56"/>
      <c r="I34" s="56"/>
      <c r="K34" s="56"/>
      <c r="L34" s="56"/>
      <c r="M34" s="56"/>
      <c r="N34" s="56"/>
      <c r="O34" s="4"/>
    </row>
    <row r="35" spans="1:15" x14ac:dyDescent="0.35">
      <c r="A35" s="56"/>
      <c r="D35" s="56"/>
      <c r="E35" s="56"/>
      <c r="I35" s="56"/>
      <c r="K35" s="56"/>
      <c r="L35" s="56"/>
      <c r="M35" s="56"/>
      <c r="N35" s="56"/>
      <c r="O35" s="4"/>
    </row>
    <row r="36" spans="1:15" x14ac:dyDescent="0.35">
      <c r="A36" s="56"/>
      <c r="D36" s="56"/>
      <c r="E36" s="56"/>
      <c r="I36" s="56"/>
      <c r="K36" s="56"/>
      <c r="L36" s="56"/>
      <c r="M36" s="56"/>
      <c r="N36" s="56"/>
      <c r="O36" s="4"/>
    </row>
    <row r="37" spans="1:15" x14ac:dyDescent="0.35">
      <c r="A37" s="56"/>
      <c r="D37" s="56"/>
      <c r="E37" s="56"/>
      <c r="I37" s="56"/>
      <c r="K37" s="56"/>
      <c r="L37" s="56"/>
      <c r="M37" s="56"/>
      <c r="N37" s="56"/>
      <c r="O37" s="4"/>
    </row>
    <row r="38" spans="1:15" x14ac:dyDescent="0.35">
      <c r="A38" s="56"/>
      <c r="D38" s="56"/>
      <c r="E38" s="56"/>
      <c r="I38" s="56"/>
      <c r="K38" s="56"/>
      <c r="L38" s="56"/>
      <c r="M38" s="56"/>
      <c r="N38" s="56"/>
      <c r="O38" s="4"/>
    </row>
    <row r="39" spans="1:15" x14ac:dyDescent="0.35">
      <c r="A39" s="56"/>
      <c r="D39" s="56"/>
      <c r="E39" s="56"/>
      <c r="I39" s="56"/>
      <c r="K39" s="56"/>
      <c r="L39" s="56"/>
      <c r="M39" s="56"/>
      <c r="N39" s="56"/>
      <c r="O39" s="4"/>
    </row>
    <row r="40" spans="1:15" x14ac:dyDescent="0.35">
      <c r="A40" s="56"/>
      <c r="D40" s="56"/>
      <c r="E40" s="56"/>
      <c r="I40" s="56"/>
      <c r="K40" s="56"/>
      <c r="L40" s="56"/>
      <c r="M40" s="56"/>
      <c r="N40" s="56"/>
      <c r="O40" s="4"/>
    </row>
    <row r="41" spans="1:15" x14ac:dyDescent="0.35">
      <c r="A41" s="56"/>
      <c r="D41" s="56"/>
      <c r="E41" s="56"/>
      <c r="I41" s="56"/>
      <c r="K41" s="56"/>
      <c r="L41" s="56"/>
      <c r="M41" s="56"/>
      <c r="N41" s="56"/>
      <c r="O41" s="4"/>
    </row>
    <row r="42" spans="1:15" x14ac:dyDescent="0.35">
      <c r="A42" s="56"/>
      <c r="D42" s="56"/>
      <c r="E42" s="56"/>
      <c r="I42" s="56"/>
      <c r="K42" s="56"/>
      <c r="L42" s="56"/>
      <c r="M42" s="56"/>
      <c r="N42" s="56"/>
      <c r="O42" s="4"/>
    </row>
    <row r="43" spans="1:15" x14ac:dyDescent="0.35">
      <c r="A43" s="56"/>
      <c r="D43" s="56"/>
      <c r="E43" s="56"/>
      <c r="I43" s="56"/>
      <c r="K43" s="56"/>
      <c r="L43" s="56"/>
      <c r="M43" s="56"/>
      <c r="N43" s="56"/>
      <c r="O43" s="4"/>
    </row>
    <row r="44" spans="1:15" x14ac:dyDescent="0.35">
      <c r="A44" s="56"/>
      <c r="D44" s="56"/>
      <c r="E44" s="56"/>
      <c r="I44" s="56"/>
      <c r="K44" s="56"/>
      <c r="L44" s="56"/>
      <c r="M44" s="56"/>
      <c r="N44" s="56"/>
      <c r="O44" s="4"/>
    </row>
    <row r="45" spans="1:15" x14ac:dyDescent="0.35">
      <c r="A45" s="56"/>
      <c r="D45" s="56"/>
      <c r="E45" s="56"/>
      <c r="I45" s="56"/>
      <c r="K45" s="56"/>
      <c r="L45" s="56"/>
      <c r="M45" s="56"/>
      <c r="N45" s="56"/>
      <c r="O45" s="4"/>
    </row>
    <row r="46" spans="1:15" x14ac:dyDescent="0.35">
      <c r="A46" s="56"/>
      <c r="D46" s="56"/>
      <c r="E46" s="56"/>
      <c r="I46" s="56"/>
      <c r="K46" s="56"/>
      <c r="L46" s="56"/>
      <c r="M46" s="56"/>
      <c r="N46" s="56"/>
      <c r="O46" s="4"/>
    </row>
    <row r="47" spans="1:15" x14ac:dyDescent="0.35">
      <c r="A47" s="56"/>
      <c r="D47" s="56"/>
      <c r="E47" s="56"/>
      <c r="I47" s="56"/>
      <c r="K47" s="56"/>
      <c r="L47" s="56"/>
      <c r="M47" s="56"/>
      <c r="N47" s="56"/>
      <c r="O47" s="4"/>
    </row>
    <row r="48" spans="1:15" x14ac:dyDescent="0.35">
      <c r="A48" s="56"/>
      <c r="D48" s="56"/>
      <c r="E48" s="56"/>
      <c r="I48" s="56"/>
      <c r="K48" s="56"/>
      <c r="L48" s="56"/>
      <c r="M48" s="56"/>
      <c r="N48" s="56"/>
      <c r="O48" s="4"/>
    </row>
    <row r="49" spans="1:15" x14ac:dyDescent="0.35">
      <c r="A49" s="56"/>
      <c r="D49" s="56"/>
      <c r="E49" s="56"/>
      <c r="I49" s="56"/>
      <c r="K49" s="56"/>
      <c r="L49" s="56"/>
      <c r="M49" s="56"/>
      <c r="N49" s="56"/>
      <c r="O49" s="4"/>
    </row>
    <row r="50" spans="1:15" x14ac:dyDescent="0.35">
      <c r="A50" s="56"/>
      <c r="D50" s="56"/>
      <c r="E50" s="56"/>
      <c r="I50" s="56"/>
      <c r="K50" s="56"/>
      <c r="L50" s="56"/>
      <c r="M50" s="56"/>
      <c r="N50" s="56"/>
      <c r="O50" s="4"/>
    </row>
    <row r="51" spans="1:15" x14ac:dyDescent="0.35">
      <c r="A51" s="56"/>
      <c r="D51" s="56"/>
      <c r="E51" s="56"/>
      <c r="I51" s="56"/>
      <c r="K51" s="56"/>
      <c r="L51" s="56"/>
      <c r="M51" s="56"/>
      <c r="N51" s="56"/>
      <c r="O51" s="4"/>
    </row>
    <row r="52" spans="1:15" x14ac:dyDescent="0.35">
      <c r="A52" s="56"/>
      <c r="D52" s="56"/>
      <c r="E52" s="56"/>
      <c r="I52" s="56"/>
      <c r="K52" s="56"/>
      <c r="L52" s="56"/>
      <c r="M52" s="56"/>
      <c r="N52" s="56"/>
      <c r="O52" s="4"/>
    </row>
    <row r="53" spans="1:15" x14ac:dyDescent="0.35">
      <c r="A53" s="56"/>
      <c r="D53" s="56"/>
      <c r="E53" s="56"/>
      <c r="I53" s="56"/>
      <c r="K53" s="56"/>
      <c r="L53" s="56"/>
      <c r="M53" s="56"/>
      <c r="N53" s="56"/>
      <c r="O53" s="4"/>
    </row>
    <row r="54" spans="1:15" x14ac:dyDescent="0.35">
      <c r="A54" s="56"/>
      <c r="D54" s="56"/>
      <c r="E54" s="56"/>
      <c r="I54" s="56"/>
      <c r="K54" s="56"/>
      <c r="L54" s="56"/>
      <c r="M54" s="56"/>
      <c r="N54" s="56"/>
      <c r="O54" s="4"/>
    </row>
    <row r="55" spans="1:15" x14ac:dyDescent="0.35">
      <c r="A55" s="56"/>
      <c r="D55" s="56"/>
      <c r="E55" s="56"/>
      <c r="I55" s="56"/>
      <c r="K55" s="56"/>
      <c r="L55" s="56"/>
      <c r="M55" s="56"/>
      <c r="N55" s="56"/>
      <c r="O55" s="4"/>
    </row>
    <row r="56" spans="1:15" x14ac:dyDescent="0.35">
      <c r="A56" s="56"/>
      <c r="D56" s="56"/>
      <c r="E56" s="56"/>
      <c r="I56" s="56"/>
      <c r="K56" s="56"/>
      <c r="L56" s="56"/>
      <c r="M56" s="56"/>
      <c r="N56" s="56"/>
      <c r="O56" s="4"/>
    </row>
    <row r="57" spans="1:15" x14ac:dyDescent="0.35">
      <c r="A57" s="56"/>
      <c r="D57" s="56"/>
      <c r="E57" s="56"/>
      <c r="I57" s="56"/>
      <c r="K57" s="56"/>
      <c r="L57" s="56"/>
      <c r="M57" s="56"/>
      <c r="N57" s="56"/>
      <c r="O57" s="4"/>
    </row>
    <row r="58" spans="1:15" x14ac:dyDescent="0.35">
      <c r="A58" s="56"/>
      <c r="D58" s="56"/>
      <c r="E58" s="56"/>
      <c r="I58" s="56"/>
      <c r="K58" s="56"/>
      <c r="L58" s="56"/>
      <c r="M58" s="56"/>
      <c r="N58" s="56"/>
      <c r="O58" s="4"/>
    </row>
    <row r="59" spans="1:15" x14ac:dyDescent="0.35">
      <c r="A59" s="57"/>
      <c r="D59" s="57"/>
      <c r="E59" s="57"/>
      <c r="I59" s="57"/>
      <c r="K59" s="57"/>
      <c r="L59" s="57"/>
      <c r="M59" s="57"/>
      <c r="N59" s="57"/>
      <c r="O59" s="4"/>
    </row>
    <row r="60" spans="1:15" x14ac:dyDescent="0.35">
      <c r="A60" s="57"/>
      <c r="D60" s="57"/>
      <c r="E60" s="57"/>
      <c r="I60" s="57"/>
      <c r="K60" s="57"/>
      <c r="L60" s="57"/>
      <c r="M60" s="57"/>
      <c r="N60" s="57"/>
      <c r="O60" s="4"/>
    </row>
    <row r="61" spans="1:15" x14ac:dyDescent="0.35">
      <c r="A61" s="57"/>
      <c r="D61" s="57"/>
      <c r="E61" s="57"/>
      <c r="I61" s="57"/>
      <c r="K61" s="57"/>
      <c r="L61" s="57"/>
      <c r="M61" s="57"/>
      <c r="N61" s="57"/>
      <c r="O61" s="4"/>
    </row>
    <row r="62" spans="1:15" x14ac:dyDescent="0.35">
      <c r="A62" s="57"/>
      <c r="D62" s="57"/>
      <c r="E62" s="57"/>
      <c r="I62" s="57"/>
      <c r="K62" s="57"/>
      <c r="L62" s="57"/>
      <c r="M62" s="57"/>
      <c r="N62" s="57"/>
      <c r="O62" s="4"/>
    </row>
    <row r="63" spans="1:15" x14ac:dyDescent="0.35">
      <c r="A63" s="57"/>
      <c r="D63" s="57"/>
      <c r="E63" s="57"/>
      <c r="I63" s="57"/>
      <c r="K63" s="57"/>
      <c r="L63" s="57"/>
      <c r="M63" s="57"/>
      <c r="N63" s="57"/>
      <c r="O63" s="4"/>
    </row>
    <row r="64" spans="1:15" x14ac:dyDescent="0.35">
      <c r="A64" s="57"/>
      <c r="D64" s="57"/>
      <c r="E64" s="57"/>
      <c r="I64" s="57"/>
      <c r="K64" s="57"/>
      <c r="L64" s="57"/>
      <c r="M64" s="57"/>
      <c r="N64" s="57"/>
      <c r="O64" s="4"/>
    </row>
    <row r="65" spans="1:15" x14ac:dyDescent="0.35">
      <c r="A65" s="57"/>
      <c r="D65" s="57"/>
      <c r="E65" s="57"/>
      <c r="I65" s="57"/>
      <c r="K65" s="57"/>
      <c r="L65" s="57"/>
      <c r="M65" s="57"/>
      <c r="N65" s="57"/>
      <c r="O65" s="4"/>
    </row>
    <row r="66" spans="1:15" x14ac:dyDescent="0.35">
      <c r="A66" s="57"/>
      <c r="D66" s="57"/>
      <c r="E66" s="57"/>
      <c r="I66" s="57"/>
      <c r="K66" s="57"/>
      <c r="L66" s="57"/>
      <c r="M66" s="57"/>
      <c r="N66" s="57"/>
      <c r="O66" s="4"/>
    </row>
    <row r="67" spans="1:15" x14ac:dyDescent="0.35">
      <c r="A67" s="57"/>
      <c r="D67" s="57"/>
      <c r="E67" s="57"/>
      <c r="I67" s="57"/>
      <c r="K67" s="57"/>
      <c r="L67" s="57"/>
      <c r="M67" s="57"/>
      <c r="N67" s="57"/>
      <c r="O67" s="4"/>
    </row>
    <row r="68" spans="1:15" x14ac:dyDescent="0.35">
      <c r="A68" s="57"/>
      <c r="D68" s="57"/>
      <c r="E68" s="57"/>
      <c r="I68" s="57"/>
      <c r="K68" s="57"/>
      <c r="L68" s="57"/>
      <c r="M68" s="57"/>
      <c r="N68" s="57"/>
      <c r="O68" s="4"/>
    </row>
    <row r="69" spans="1:15" x14ac:dyDescent="0.35">
      <c r="A69" s="57"/>
      <c r="D69" s="57"/>
      <c r="E69" s="57"/>
      <c r="I69" s="57"/>
      <c r="K69" s="57"/>
      <c r="L69" s="57"/>
      <c r="M69" s="57"/>
      <c r="N69" s="57"/>
      <c r="O69" s="4"/>
    </row>
    <row r="70" spans="1:15" x14ac:dyDescent="0.35">
      <c r="A70" s="57"/>
      <c r="D70" s="57"/>
      <c r="E70" s="57"/>
      <c r="I70" s="57"/>
      <c r="K70" s="57"/>
      <c r="L70" s="57"/>
      <c r="M70" s="57"/>
      <c r="N70" s="57"/>
      <c r="O70" s="4"/>
    </row>
    <row r="71" spans="1:15" x14ac:dyDescent="0.35">
      <c r="A71" s="57"/>
      <c r="D71" s="57"/>
      <c r="E71" s="57"/>
      <c r="I71" s="57"/>
      <c r="K71" s="57"/>
      <c r="L71" s="57"/>
      <c r="M71" s="57"/>
      <c r="N71" s="57"/>
      <c r="O71" s="4"/>
    </row>
    <row r="72" spans="1:15" x14ac:dyDescent="0.35">
      <c r="A72" s="57"/>
      <c r="D72" s="57"/>
      <c r="E72" s="57"/>
      <c r="I72" s="57"/>
      <c r="K72" s="57"/>
      <c r="L72" s="57"/>
      <c r="M72" s="57"/>
      <c r="N72" s="57"/>
      <c r="O72" s="4"/>
    </row>
    <row r="73" spans="1:15" x14ac:dyDescent="0.35">
      <c r="A73" s="57"/>
      <c r="D73" s="57"/>
      <c r="E73" s="57"/>
      <c r="I73" s="57"/>
      <c r="K73" s="57"/>
      <c r="L73" s="57"/>
      <c r="M73" s="57"/>
      <c r="N73" s="57"/>
      <c r="O73" s="4"/>
    </row>
    <row r="74" spans="1:15" x14ac:dyDescent="0.35">
      <c r="A74" s="57"/>
      <c r="D74" s="57"/>
      <c r="E74" s="57"/>
      <c r="I74" s="57"/>
      <c r="K74" s="57"/>
      <c r="L74" s="57"/>
      <c r="M74" s="57"/>
      <c r="N74" s="57"/>
      <c r="O74" s="4"/>
    </row>
    <row r="75" spans="1:15" x14ac:dyDescent="0.35">
      <c r="A75" s="57"/>
      <c r="D75" s="57"/>
      <c r="E75" s="57"/>
      <c r="I75" s="57"/>
      <c r="K75" s="57"/>
      <c r="L75" s="57"/>
      <c r="M75" s="57"/>
      <c r="N75" s="57"/>
      <c r="O75" s="4"/>
    </row>
    <row r="76" spans="1:15" x14ac:dyDescent="0.35">
      <c r="A76" s="57"/>
      <c r="D76" s="57"/>
      <c r="E76" s="57"/>
      <c r="I76" s="57"/>
      <c r="K76" s="57"/>
      <c r="L76" s="57"/>
      <c r="M76" s="57"/>
      <c r="N76" s="57"/>
      <c r="O76" s="4"/>
    </row>
    <row r="77" spans="1:15" x14ac:dyDescent="0.35">
      <c r="A77" s="57"/>
      <c r="D77" s="57"/>
      <c r="E77" s="57"/>
      <c r="I77" s="57"/>
      <c r="K77" s="57"/>
      <c r="L77" s="57"/>
      <c r="M77" s="57"/>
      <c r="N77" s="57"/>
      <c r="O77" s="4"/>
    </row>
    <row r="78" spans="1:15" x14ac:dyDescent="0.35">
      <c r="A78" s="57"/>
      <c r="D78" s="57"/>
      <c r="E78" s="57"/>
      <c r="I78" s="57"/>
      <c r="K78" s="57"/>
      <c r="L78" s="57"/>
      <c r="M78" s="57"/>
      <c r="N78" s="57"/>
      <c r="O78" s="4"/>
    </row>
    <row r="79" spans="1:15" x14ac:dyDescent="0.35">
      <c r="A79" s="57"/>
      <c r="D79" s="57"/>
      <c r="E79" s="57"/>
      <c r="I79" s="57"/>
      <c r="K79" s="57"/>
      <c r="L79" s="57"/>
      <c r="M79" s="57"/>
      <c r="N79" s="57"/>
      <c r="O79" s="4"/>
    </row>
    <row r="80" spans="1:15" x14ac:dyDescent="0.35">
      <c r="A80" s="57"/>
      <c r="D80" s="57"/>
      <c r="E80" s="57"/>
      <c r="I80" s="57"/>
      <c r="K80" s="57"/>
      <c r="L80" s="57"/>
      <c r="M80" s="57"/>
      <c r="N80" s="57"/>
      <c r="O80" s="4"/>
    </row>
    <row r="81" spans="1:15" x14ac:dyDescent="0.35">
      <c r="A81" s="57"/>
      <c r="D81" s="57"/>
      <c r="E81" s="57"/>
      <c r="I81" s="57"/>
      <c r="K81" s="57"/>
      <c r="L81" s="57"/>
      <c r="M81" s="57"/>
      <c r="N81" s="57"/>
      <c r="O81" s="4"/>
    </row>
    <row r="82" spans="1:15" x14ac:dyDescent="0.35">
      <c r="A82" s="57"/>
      <c r="D82" s="57"/>
      <c r="E82" s="57"/>
      <c r="I82" s="57"/>
      <c r="K82" s="57"/>
      <c r="L82" s="57"/>
      <c r="M82" s="57"/>
      <c r="N82" s="57"/>
      <c r="O82" s="4"/>
    </row>
    <row r="83" spans="1:15" x14ac:dyDescent="0.35">
      <c r="A83" s="57"/>
      <c r="D83" s="57"/>
      <c r="E83" s="57"/>
      <c r="I83" s="57"/>
      <c r="K83" s="57"/>
      <c r="L83" s="57"/>
      <c r="M83" s="57"/>
      <c r="N83" s="57"/>
      <c r="O83" s="4"/>
    </row>
    <row r="84" spans="1:15" x14ac:dyDescent="0.35">
      <c r="A84" s="57"/>
      <c r="D84" s="57"/>
      <c r="E84" s="57"/>
      <c r="I84" s="57"/>
      <c r="K84" s="57"/>
      <c r="L84" s="57"/>
      <c r="M84" s="57"/>
      <c r="N84" s="57"/>
      <c r="O84" s="4"/>
    </row>
    <row r="85" spans="1:15" x14ac:dyDescent="0.35">
      <c r="A85" s="57"/>
      <c r="D85" s="57"/>
      <c r="E85" s="57"/>
      <c r="I85" s="57"/>
      <c r="K85" s="57"/>
      <c r="L85" s="57"/>
      <c r="M85" s="57"/>
      <c r="N85" s="57"/>
      <c r="O85" s="4"/>
    </row>
    <row r="86" spans="1:15" x14ac:dyDescent="0.35">
      <c r="A86" s="57"/>
      <c r="D86" s="57"/>
      <c r="E86" s="57"/>
      <c r="I86" s="57"/>
      <c r="K86" s="57"/>
      <c r="L86" s="57"/>
      <c r="M86" s="57"/>
      <c r="N86" s="57"/>
      <c r="O86" s="4"/>
    </row>
    <row r="87" spans="1:15" x14ac:dyDescent="0.35">
      <c r="A87" s="57"/>
      <c r="D87" s="57"/>
      <c r="E87" s="57"/>
      <c r="I87" s="57"/>
      <c r="K87" s="57"/>
      <c r="L87" s="57"/>
      <c r="M87" s="57"/>
      <c r="N87" s="57"/>
      <c r="O87" s="4"/>
    </row>
    <row r="88" spans="1:15" x14ac:dyDescent="0.35">
      <c r="A88" s="57"/>
      <c r="D88" s="57"/>
      <c r="E88" s="57"/>
      <c r="I88" s="57"/>
      <c r="K88" s="57"/>
      <c r="L88" s="57"/>
      <c r="M88" s="57"/>
      <c r="N88" s="57"/>
      <c r="O88" s="4"/>
    </row>
    <row r="89" spans="1:15" x14ac:dyDescent="0.35">
      <c r="A89" s="58"/>
      <c r="D89" s="58"/>
      <c r="E89" s="58"/>
      <c r="I89" s="58"/>
      <c r="K89" s="58"/>
      <c r="L89" s="58"/>
      <c r="M89" s="58"/>
      <c r="N89" s="58"/>
      <c r="O89" s="4"/>
    </row>
    <row r="90" spans="1:15" x14ac:dyDescent="0.35">
      <c r="A90" s="58"/>
      <c r="D90" s="58"/>
      <c r="E90" s="58"/>
      <c r="I90" s="58"/>
      <c r="K90" s="58"/>
      <c r="L90" s="58"/>
      <c r="M90" s="58"/>
      <c r="N90" s="58"/>
      <c r="O90" s="4"/>
    </row>
    <row r="91" spans="1:15" x14ac:dyDescent="0.35">
      <c r="A91" s="58"/>
      <c r="D91" s="58"/>
      <c r="E91" s="58"/>
      <c r="I91" s="58"/>
      <c r="K91" s="58"/>
      <c r="L91" s="58"/>
      <c r="M91" s="58"/>
      <c r="N91" s="58"/>
      <c r="O91" s="4"/>
    </row>
    <row r="92" spans="1:15" x14ac:dyDescent="0.35">
      <c r="A92" s="58"/>
      <c r="D92" s="58"/>
      <c r="E92" s="58"/>
      <c r="I92" s="58"/>
      <c r="K92" s="58"/>
      <c r="L92" s="58"/>
      <c r="M92" s="58"/>
      <c r="N92" s="58"/>
      <c r="O92" s="4"/>
    </row>
    <row r="93" spans="1:15" x14ac:dyDescent="0.35">
      <c r="A93" s="58"/>
      <c r="D93" s="58"/>
      <c r="E93" s="58"/>
      <c r="I93" s="58"/>
      <c r="K93" s="58"/>
      <c r="L93" s="58"/>
      <c r="M93" s="58"/>
      <c r="N93" s="58"/>
      <c r="O93" s="4"/>
    </row>
    <row r="94" spans="1:15" x14ac:dyDescent="0.35">
      <c r="A94" s="58"/>
      <c r="D94" s="58"/>
      <c r="E94" s="58"/>
      <c r="I94" s="58"/>
      <c r="K94" s="58"/>
      <c r="L94" s="58"/>
      <c r="M94" s="58"/>
      <c r="N94" s="58"/>
      <c r="O94" s="4"/>
    </row>
    <row r="95" spans="1:15" x14ac:dyDescent="0.35">
      <c r="A95" s="58"/>
      <c r="D95" s="58"/>
      <c r="E95" s="58"/>
      <c r="I95" s="58"/>
      <c r="K95" s="58"/>
      <c r="L95" s="58"/>
      <c r="M95" s="58"/>
      <c r="N95" s="58"/>
      <c r="O95" s="4"/>
    </row>
    <row r="96" spans="1:15" x14ac:dyDescent="0.35">
      <c r="A96" s="58"/>
      <c r="D96" s="58"/>
      <c r="E96" s="58"/>
      <c r="I96" s="58"/>
      <c r="K96" s="58"/>
      <c r="L96" s="58"/>
      <c r="M96" s="58"/>
      <c r="N96" s="58"/>
      <c r="O96" s="4"/>
    </row>
    <row r="97" spans="1:15" x14ac:dyDescent="0.35">
      <c r="A97" s="58"/>
      <c r="D97" s="58"/>
      <c r="E97" s="58"/>
      <c r="I97" s="58"/>
      <c r="K97" s="58"/>
      <c r="L97" s="58"/>
      <c r="M97" s="58"/>
      <c r="N97" s="58"/>
      <c r="O97" s="4"/>
    </row>
    <row r="98" spans="1:15" x14ac:dyDescent="0.35">
      <c r="A98" s="58"/>
      <c r="D98" s="58"/>
      <c r="E98" s="58"/>
      <c r="I98" s="58"/>
      <c r="K98" s="58"/>
      <c r="L98" s="58"/>
      <c r="M98" s="58"/>
      <c r="N98" s="58"/>
      <c r="O98" s="4"/>
    </row>
    <row r="99" spans="1:15" x14ac:dyDescent="0.35">
      <c r="A99" s="58"/>
      <c r="D99" s="58"/>
      <c r="E99" s="58"/>
      <c r="I99" s="58"/>
      <c r="K99" s="58"/>
      <c r="L99" s="58"/>
      <c r="M99" s="58"/>
      <c r="N99" s="58"/>
      <c r="O99" s="4"/>
    </row>
    <row r="100" spans="1:15" x14ac:dyDescent="0.35">
      <c r="A100" s="58"/>
      <c r="D100" s="58"/>
      <c r="E100" s="58"/>
      <c r="I100" s="58"/>
      <c r="K100" s="58"/>
      <c r="L100" s="58"/>
      <c r="M100" s="58"/>
      <c r="N100" s="58"/>
      <c r="O100" s="4"/>
    </row>
    <row r="101" spans="1:15" x14ac:dyDescent="0.35">
      <c r="A101" s="58"/>
      <c r="D101" s="58"/>
      <c r="E101" s="58"/>
      <c r="I101" s="58"/>
      <c r="K101" s="58"/>
      <c r="L101" s="58"/>
      <c r="M101" s="58"/>
      <c r="N101" s="58"/>
      <c r="O101" s="4"/>
    </row>
    <row r="102" spans="1:15" x14ac:dyDescent="0.35">
      <c r="A102" s="58"/>
      <c r="D102" s="58"/>
      <c r="E102" s="58"/>
      <c r="I102" s="58"/>
      <c r="K102" s="58"/>
      <c r="L102" s="58"/>
      <c r="M102" s="58"/>
      <c r="N102" s="58"/>
      <c r="O102" s="4"/>
    </row>
    <row r="103" spans="1:15" x14ac:dyDescent="0.35">
      <c r="A103" s="58"/>
      <c r="D103" s="58"/>
      <c r="E103" s="58"/>
      <c r="I103" s="58"/>
      <c r="K103" s="58"/>
      <c r="L103" s="58"/>
      <c r="M103" s="58"/>
      <c r="N103" s="58"/>
      <c r="O103" s="4"/>
    </row>
    <row r="104" spans="1:15" x14ac:dyDescent="0.35">
      <c r="A104" s="58"/>
      <c r="D104" s="58"/>
      <c r="E104" s="58"/>
      <c r="I104" s="58"/>
      <c r="K104" s="58"/>
      <c r="L104" s="58"/>
      <c r="M104" s="58"/>
      <c r="N104" s="58"/>
      <c r="O104" s="4"/>
    </row>
    <row r="105" spans="1:15" x14ac:dyDescent="0.35">
      <c r="A105" s="58"/>
      <c r="D105" s="58"/>
      <c r="E105" s="58"/>
      <c r="I105" s="58"/>
      <c r="K105" s="58"/>
      <c r="L105" s="58"/>
      <c r="M105" s="58"/>
      <c r="N105" s="58"/>
      <c r="O105" s="4"/>
    </row>
    <row r="106" spans="1:15" x14ac:dyDescent="0.35">
      <c r="A106" s="58"/>
      <c r="D106" s="58"/>
      <c r="E106" s="58"/>
      <c r="I106" s="58"/>
      <c r="K106" s="58"/>
      <c r="L106" s="58"/>
      <c r="M106" s="58"/>
      <c r="N106" s="58"/>
      <c r="O106" s="4"/>
    </row>
    <row r="107" spans="1:15" x14ac:dyDescent="0.35">
      <c r="A107" s="58"/>
      <c r="D107" s="58"/>
      <c r="E107" s="58"/>
      <c r="I107" s="58"/>
      <c r="K107" s="58"/>
      <c r="L107" s="58"/>
      <c r="M107" s="58"/>
      <c r="N107" s="58"/>
      <c r="O107" s="4"/>
    </row>
    <row r="108" spans="1:15" x14ac:dyDescent="0.35">
      <c r="A108" s="58"/>
      <c r="D108" s="58"/>
      <c r="E108" s="58"/>
      <c r="I108" s="58"/>
      <c r="K108" s="58"/>
      <c r="L108" s="58"/>
      <c r="M108" s="58"/>
      <c r="N108" s="58"/>
      <c r="O108" s="4"/>
    </row>
    <row r="109" spans="1:15" x14ac:dyDescent="0.35">
      <c r="A109" s="58"/>
      <c r="D109" s="58"/>
      <c r="E109" s="58"/>
      <c r="I109" s="58"/>
      <c r="K109" s="58"/>
      <c r="L109" s="58"/>
      <c r="M109" s="58"/>
      <c r="N109" s="58"/>
      <c r="O109" s="4"/>
    </row>
    <row r="110" spans="1:15" x14ac:dyDescent="0.35">
      <c r="A110" s="58"/>
      <c r="D110" s="58"/>
      <c r="E110" s="58"/>
      <c r="I110" s="58"/>
      <c r="K110" s="58"/>
      <c r="L110" s="58"/>
      <c r="M110" s="58"/>
      <c r="N110" s="58"/>
      <c r="O110" s="4"/>
    </row>
    <row r="111" spans="1:15" x14ac:dyDescent="0.35">
      <c r="A111" s="58"/>
      <c r="D111" s="58"/>
      <c r="E111" s="58"/>
      <c r="I111" s="58"/>
      <c r="K111" s="58"/>
      <c r="L111" s="58"/>
      <c r="M111" s="58"/>
      <c r="N111" s="58"/>
      <c r="O111" s="4"/>
    </row>
    <row r="112" spans="1:15" x14ac:dyDescent="0.35">
      <c r="A112" s="58"/>
      <c r="D112" s="58"/>
      <c r="E112" s="58"/>
      <c r="I112" s="58"/>
      <c r="K112" s="58"/>
      <c r="L112" s="58"/>
      <c r="M112" s="58"/>
      <c r="N112" s="58"/>
      <c r="O112" s="4"/>
    </row>
    <row r="113" spans="1:15" x14ac:dyDescent="0.35">
      <c r="A113" s="58"/>
      <c r="D113" s="58"/>
      <c r="E113" s="58"/>
      <c r="I113" s="58"/>
      <c r="K113" s="58"/>
      <c r="L113" s="58"/>
      <c r="M113" s="58"/>
      <c r="N113" s="58"/>
      <c r="O113" s="4"/>
    </row>
    <row r="114" spans="1:15" x14ac:dyDescent="0.35">
      <c r="A114" s="58"/>
      <c r="D114" s="58"/>
      <c r="E114" s="58"/>
      <c r="I114" s="58"/>
      <c r="K114" s="58"/>
      <c r="L114" s="58"/>
      <c r="M114" s="58"/>
      <c r="N114" s="58"/>
      <c r="O114" s="4"/>
    </row>
    <row r="115" spans="1:15" x14ac:dyDescent="0.35">
      <c r="A115" s="58"/>
      <c r="D115" s="58"/>
      <c r="E115" s="58"/>
      <c r="I115" s="58"/>
      <c r="K115" s="58"/>
      <c r="L115" s="58"/>
      <c r="M115" s="58"/>
      <c r="N115" s="58"/>
      <c r="O115" s="4"/>
    </row>
    <row r="116" spans="1:15" x14ac:dyDescent="0.35">
      <c r="A116" s="58"/>
      <c r="D116" s="58"/>
      <c r="E116" s="58"/>
      <c r="I116" s="58"/>
      <c r="K116" s="58"/>
      <c r="L116" s="58"/>
      <c r="M116" s="58"/>
      <c r="N116" s="58"/>
      <c r="O116" s="4"/>
    </row>
    <row r="117" spans="1:15" x14ac:dyDescent="0.35">
      <c r="A117" s="58"/>
      <c r="D117" s="58"/>
      <c r="E117" s="58"/>
      <c r="I117" s="58"/>
      <c r="K117" s="58"/>
      <c r="L117" s="58"/>
      <c r="M117" s="58"/>
      <c r="N117" s="58"/>
      <c r="O117" s="4"/>
    </row>
    <row r="118" spans="1:15" x14ac:dyDescent="0.35">
      <c r="A118" s="58"/>
      <c r="D118" s="58"/>
      <c r="E118" s="58"/>
      <c r="I118" s="58"/>
      <c r="K118" s="58"/>
      <c r="L118" s="58"/>
      <c r="M118" s="58"/>
      <c r="N118" s="58"/>
      <c r="O118" s="4"/>
    </row>
    <row r="119" spans="1:15" x14ac:dyDescent="0.35">
      <c r="A119" s="58"/>
      <c r="D119" s="58"/>
      <c r="E119" s="58"/>
      <c r="I119" s="58"/>
      <c r="K119" s="58"/>
      <c r="L119" s="58"/>
      <c r="M119" s="58"/>
      <c r="N119" s="58"/>
      <c r="O119" s="4"/>
    </row>
    <row r="120" spans="1:15" x14ac:dyDescent="0.35">
      <c r="A120" s="58"/>
      <c r="D120" s="58"/>
      <c r="E120" s="58"/>
      <c r="I120" s="58"/>
      <c r="K120" s="58"/>
      <c r="L120" s="58"/>
      <c r="M120" s="58"/>
      <c r="N120" s="58"/>
      <c r="O120" s="4"/>
    </row>
    <row r="121" spans="1:15" x14ac:dyDescent="0.35">
      <c r="A121" s="58"/>
      <c r="D121" s="58"/>
      <c r="E121" s="58"/>
      <c r="I121" s="58"/>
      <c r="K121" s="58"/>
      <c r="L121" s="58"/>
      <c r="M121" s="58"/>
      <c r="N121" s="58"/>
      <c r="O121" s="4"/>
    </row>
    <row r="122" spans="1:15" x14ac:dyDescent="0.35">
      <c r="A122" s="58"/>
      <c r="D122" s="58"/>
      <c r="E122" s="58"/>
      <c r="I122" s="58"/>
      <c r="K122" s="58"/>
      <c r="L122" s="58"/>
      <c r="M122" s="58"/>
      <c r="N122" s="58"/>
      <c r="O122" s="4"/>
    </row>
    <row r="123" spans="1:15" x14ac:dyDescent="0.35">
      <c r="A123" s="58"/>
      <c r="D123" s="58"/>
      <c r="E123" s="58"/>
      <c r="I123" s="58"/>
      <c r="K123" s="58"/>
      <c r="L123" s="58"/>
      <c r="M123" s="58"/>
      <c r="N123" s="58"/>
      <c r="O123" s="4"/>
    </row>
    <row r="124" spans="1:15" x14ac:dyDescent="0.35">
      <c r="A124" s="58"/>
      <c r="D124" s="58"/>
      <c r="E124" s="58"/>
      <c r="I124" s="58"/>
      <c r="K124" s="58"/>
      <c r="L124" s="58"/>
      <c r="M124" s="58"/>
      <c r="N124" s="58"/>
      <c r="O124" s="4"/>
    </row>
    <row r="125" spans="1:15" x14ac:dyDescent="0.35">
      <c r="A125" s="58"/>
      <c r="D125" s="58"/>
      <c r="E125" s="58"/>
      <c r="I125" s="58"/>
      <c r="K125" s="58"/>
      <c r="L125" s="58"/>
      <c r="M125" s="58"/>
      <c r="N125" s="58"/>
      <c r="O125" s="4"/>
    </row>
    <row r="126" spans="1:15" x14ac:dyDescent="0.35">
      <c r="A126" s="58"/>
      <c r="D126" s="58"/>
      <c r="E126" s="58"/>
      <c r="I126" s="58"/>
      <c r="K126" s="58"/>
      <c r="L126" s="58"/>
      <c r="M126" s="58"/>
      <c r="N126" s="58"/>
      <c r="O126" s="4"/>
    </row>
    <row r="127" spans="1:15" x14ac:dyDescent="0.35">
      <c r="A127" s="58"/>
      <c r="D127" s="58"/>
      <c r="E127" s="58"/>
      <c r="I127" s="58"/>
      <c r="K127" s="58"/>
      <c r="L127" s="58"/>
      <c r="M127" s="58"/>
      <c r="N127" s="58"/>
      <c r="O127" s="4"/>
    </row>
    <row r="128" spans="1:15" x14ac:dyDescent="0.35">
      <c r="O128" s="4"/>
    </row>
    <row r="129" spans="15:15" x14ac:dyDescent="0.35">
      <c r="O129" s="4"/>
    </row>
    <row r="130" spans="15:15" x14ac:dyDescent="0.35">
      <c r="O130" s="4"/>
    </row>
    <row r="131" spans="15:15" x14ac:dyDescent="0.35">
      <c r="O131" s="4"/>
    </row>
    <row r="132" spans="15:15" x14ac:dyDescent="0.35">
      <c r="O132" s="4"/>
    </row>
    <row r="133" spans="15:15" x14ac:dyDescent="0.35">
      <c r="O133" s="4"/>
    </row>
    <row r="134" spans="15:15" x14ac:dyDescent="0.35">
      <c r="O134" s="4"/>
    </row>
    <row r="135" spans="15:15" x14ac:dyDescent="0.35">
      <c r="O135" s="4"/>
    </row>
    <row r="136" spans="15:15" x14ac:dyDescent="0.35">
      <c r="O136" s="4"/>
    </row>
    <row r="137" spans="15:15" x14ac:dyDescent="0.35">
      <c r="O137" s="4"/>
    </row>
    <row r="138" spans="15:15" x14ac:dyDescent="0.35">
      <c r="O138" s="4"/>
    </row>
    <row r="139" spans="15:15" x14ac:dyDescent="0.35">
      <c r="O139" s="4"/>
    </row>
    <row r="140" spans="15:15" x14ac:dyDescent="0.35">
      <c r="O140" s="4"/>
    </row>
    <row r="141" spans="15:15" x14ac:dyDescent="0.35">
      <c r="O141" s="4"/>
    </row>
    <row r="142" spans="15:15" x14ac:dyDescent="0.35">
      <c r="O142" s="4"/>
    </row>
    <row r="143" spans="15:15" x14ac:dyDescent="0.35">
      <c r="O143" s="4"/>
    </row>
    <row r="144" spans="15:15" x14ac:dyDescent="0.35">
      <c r="O144" s="4"/>
    </row>
    <row r="145" spans="15:15" x14ac:dyDescent="0.35">
      <c r="O145" s="4"/>
    </row>
    <row r="146" spans="15:15" x14ac:dyDescent="0.35">
      <c r="O146" s="4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7"/>
  <sheetViews>
    <sheetView topLeftCell="A295" workbookViewId="0">
      <selection activeCell="F315" sqref="F315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x14ac:dyDescent="0.35">
      <c r="B8" s="50"/>
      <c r="C8" s="50"/>
    </row>
    <row r="9" spans="1:35" x14ac:dyDescent="0.35">
      <c r="B9" s="50"/>
      <c r="C9" s="50"/>
    </row>
    <row r="10" spans="1:35" x14ac:dyDescent="0.35">
      <c r="B10" s="50"/>
      <c r="C10" s="50"/>
    </row>
    <row r="11" spans="1:35" x14ac:dyDescent="0.35">
      <c r="B11" s="50"/>
      <c r="C11" s="50"/>
    </row>
    <row r="12" spans="1:35" x14ac:dyDescent="0.35">
      <c r="B12" s="50"/>
      <c r="C12" s="50"/>
    </row>
    <row r="13" spans="1:35" x14ac:dyDescent="0.35">
      <c r="B13" s="50"/>
      <c r="C13" s="50"/>
    </row>
    <row r="14" spans="1:35" x14ac:dyDescent="0.35">
      <c r="B14" s="50"/>
      <c r="C14" s="50"/>
    </row>
    <row r="15" spans="1:35" x14ac:dyDescent="0.35">
      <c r="B15" s="50"/>
      <c r="C15" s="50"/>
    </row>
    <row r="16" spans="1:35" x14ac:dyDescent="0.35">
      <c r="B16" s="50"/>
      <c r="C16" s="50"/>
    </row>
    <row r="17" spans="2:3" x14ac:dyDescent="0.35">
      <c r="B17" s="50"/>
      <c r="C17" s="50"/>
    </row>
    <row r="18" spans="2:3" x14ac:dyDescent="0.35">
      <c r="B18" s="50"/>
      <c r="C18" s="50"/>
    </row>
    <row r="19" spans="2:3" x14ac:dyDescent="0.35">
      <c r="B19" s="50"/>
      <c r="C19" s="50"/>
    </row>
    <row r="20" spans="2:3" x14ac:dyDescent="0.35">
      <c r="B20" s="50"/>
      <c r="C20" s="50"/>
    </row>
    <row r="21" spans="2:3" x14ac:dyDescent="0.35">
      <c r="B21" s="50"/>
      <c r="C21" s="50"/>
    </row>
    <row r="22" spans="2:3" x14ac:dyDescent="0.35">
      <c r="B22" s="50"/>
      <c r="C22" s="50"/>
    </row>
    <row r="23" spans="2:3" x14ac:dyDescent="0.35">
      <c r="B23" s="50"/>
      <c r="C23" s="50"/>
    </row>
    <row r="24" spans="2:3" x14ac:dyDescent="0.35">
      <c r="B24" s="50"/>
      <c r="C24" s="50"/>
    </row>
    <row r="25" spans="2:3" x14ac:dyDescent="0.35">
      <c r="B25" s="50"/>
      <c r="C25" s="50"/>
    </row>
    <row r="26" spans="2:3" x14ac:dyDescent="0.35">
      <c r="B26" s="50"/>
      <c r="C26" s="50"/>
    </row>
    <row r="27" spans="2:3" x14ac:dyDescent="0.35">
      <c r="B27" s="50"/>
      <c r="C27" s="50"/>
    </row>
    <row r="28" spans="2:3" x14ac:dyDescent="0.35">
      <c r="B28" s="50"/>
      <c r="C28" s="50"/>
    </row>
    <row r="29" spans="2:3" x14ac:dyDescent="0.35">
      <c r="B29" s="50"/>
      <c r="C29" s="50"/>
    </row>
    <row r="30" spans="2:3" x14ac:dyDescent="0.35">
      <c r="B30" s="50"/>
      <c r="C30" s="50"/>
    </row>
    <row r="31" spans="2:3" x14ac:dyDescent="0.35">
      <c r="B31" s="50"/>
      <c r="C31" s="50"/>
    </row>
    <row r="32" spans="2:3" x14ac:dyDescent="0.35">
      <c r="B32" s="50"/>
      <c r="C32" s="50"/>
    </row>
    <row r="33" spans="2:3" x14ac:dyDescent="0.35">
      <c r="B33" s="50"/>
      <c r="C33" s="50"/>
    </row>
    <row r="34" spans="2:3" x14ac:dyDescent="0.35">
      <c r="B34" s="50"/>
      <c r="C34" s="50"/>
    </row>
    <row r="35" spans="2:3" x14ac:dyDescent="0.35">
      <c r="B35" s="50"/>
      <c r="C35" s="50"/>
    </row>
    <row r="36" spans="2:3" x14ac:dyDescent="0.35">
      <c r="B36" s="50"/>
      <c r="C36" s="50"/>
    </row>
    <row r="37" spans="2:3" x14ac:dyDescent="0.35">
      <c r="B37" s="50"/>
      <c r="C37" s="50"/>
    </row>
    <row r="38" spans="2:3" x14ac:dyDescent="0.35">
      <c r="B38" s="50"/>
      <c r="C38" s="50"/>
    </row>
    <row r="39" spans="2:3" x14ac:dyDescent="0.35">
      <c r="B39" s="50"/>
      <c r="C39" s="50"/>
    </row>
    <row r="40" spans="2:3" x14ac:dyDescent="0.35">
      <c r="B40" s="50"/>
      <c r="C40" s="50"/>
    </row>
    <row r="41" spans="2:3" x14ac:dyDescent="0.35">
      <c r="B41" s="50"/>
      <c r="C41" s="50"/>
    </row>
    <row r="42" spans="2:3" x14ac:dyDescent="0.35">
      <c r="B42" s="50"/>
      <c r="C42" s="50"/>
    </row>
    <row r="43" spans="2:3" x14ac:dyDescent="0.35">
      <c r="B43" s="50"/>
      <c r="C43" s="50"/>
    </row>
    <row r="44" spans="2:3" x14ac:dyDescent="0.35">
      <c r="B44" s="50"/>
      <c r="C44" s="50"/>
    </row>
    <row r="45" spans="2:3" x14ac:dyDescent="0.35">
      <c r="B45" s="50"/>
      <c r="C45" s="50"/>
    </row>
    <row r="46" spans="2:3" x14ac:dyDescent="0.35">
      <c r="B46" s="50"/>
      <c r="C46" s="50"/>
    </row>
    <row r="47" spans="2:3" x14ac:dyDescent="0.35">
      <c r="B47" s="50"/>
      <c r="C47" s="50"/>
    </row>
    <row r="48" spans="2:3" x14ac:dyDescent="0.35">
      <c r="B48" s="50"/>
      <c r="C48" s="50"/>
    </row>
    <row r="49" spans="2:3" x14ac:dyDescent="0.35">
      <c r="B49" s="50"/>
      <c r="C49" s="50"/>
    </row>
    <row r="50" spans="2:3" x14ac:dyDescent="0.35">
      <c r="B50" s="50"/>
      <c r="C50" s="50"/>
    </row>
    <row r="51" spans="2:3" x14ac:dyDescent="0.35">
      <c r="B51" s="50"/>
      <c r="C51" s="50"/>
    </row>
    <row r="52" spans="2:3" x14ac:dyDescent="0.35">
      <c r="B52" s="50"/>
      <c r="C52" s="50"/>
    </row>
    <row r="53" spans="2:3" x14ac:dyDescent="0.35">
      <c r="B53" s="50"/>
      <c r="C53" s="50"/>
    </row>
    <row r="54" spans="2:3" x14ac:dyDescent="0.35">
      <c r="B54" s="50"/>
      <c r="C54" s="50"/>
    </row>
    <row r="55" spans="2:3" x14ac:dyDescent="0.35">
      <c r="B55" s="50"/>
      <c r="C55" s="50"/>
    </row>
    <row r="56" spans="2:3" x14ac:dyDescent="0.35">
      <c r="B56" s="50"/>
      <c r="C56" s="50"/>
    </row>
    <row r="57" spans="2:3" x14ac:dyDescent="0.35">
      <c r="B57" s="50"/>
      <c r="C57" s="50"/>
    </row>
    <row r="58" spans="2:3" x14ac:dyDescent="0.35">
      <c r="B58" s="50"/>
      <c r="C58" s="50"/>
    </row>
    <row r="59" spans="2:3" x14ac:dyDescent="0.35">
      <c r="B59" s="50"/>
      <c r="C59" s="50"/>
    </row>
    <row r="60" spans="2:3" x14ac:dyDescent="0.35">
      <c r="B60" s="50"/>
      <c r="C60" s="50"/>
    </row>
    <row r="61" spans="2:3" x14ac:dyDescent="0.35">
      <c r="B61" s="50"/>
      <c r="C61" s="50"/>
    </row>
    <row r="62" spans="2:3" x14ac:dyDescent="0.35">
      <c r="B62" s="50"/>
      <c r="C62" s="50"/>
    </row>
    <row r="63" spans="2:3" x14ac:dyDescent="0.35">
      <c r="B63" s="50"/>
      <c r="C63" s="50"/>
    </row>
    <row r="64" spans="2:3" x14ac:dyDescent="0.35">
      <c r="B64" s="50"/>
      <c r="C64" s="50"/>
    </row>
    <row r="65" spans="2:3" x14ac:dyDescent="0.35">
      <c r="B65" s="50"/>
      <c r="C65" s="50"/>
    </row>
    <row r="66" spans="2:3" x14ac:dyDescent="0.35">
      <c r="B66" s="50"/>
      <c r="C66" s="50"/>
    </row>
    <row r="67" spans="2:3" x14ac:dyDescent="0.35">
      <c r="B67" s="50"/>
      <c r="C67" s="50"/>
    </row>
    <row r="68" spans="2:3" x14ac:dyDescent="0.35">
      <c r="B68" s="50"/>
      <c r="C68" s="50"/>
    </row>
    <row r="69" spans="2:3" x14ac:dyDescent="0.35">
      <c r="B69" s="50"/>
      <c r="C69" s="50"/>
    </row>
    <row r="70" spans="2:3" x14ac:dyDescent="0.35">
      <c r="B70" s="50"/>
      <c r="C70" s="50"/>
    </row>
    <row r="71" spans="2:3" x14ac:dyDescent="0.35">
      <c r="B71" s="50"/>
      <c r="C71" s="50"/>
    </row>
    <row r="72" spans="2:3" x14ac:dyDescent="0.35">
      <c r="B72" s="50"/>
      <c r="C72" s="50"/>
    </row>
    <row r="73" spans="2:3" x14ac:dyDescent="0.35">
      <c r="B73" s="50"/>
      <c r="C73" s="50"/>
    </row>
    <row r="74" spans="2:3" x14ac:dyDescent="0.35">
      <c r="B74" s="50"/>
      <c r="C74" s="50"/>
    </row>
    <row r="75" spans="2:3" x14ac:dyDescent="0.35">
      <c r="B75" s="50"/>
      <c r="C75" s="50"/>
    </row>
    <row r="76" spans="2:3" x14ac:dyDescent="0.35">
      <c r="B76" s="50"/>
      <c r="C76" s="50"/>
    </row>
    <row r="77" spans="2:3" x14ac:dyDescent="0.35">
      <c r="B77" s="50"/>
      <c r="C77" s="50"/>
    </row>
    <row r="78" spans="2:3" x14ac:dyDescent="0.35">
      <c r="B78" s="50"/>
      <c r="C78" s="50"/>
    </row>
    <row r="79" spans="2:3" x14ac:dyDescent="0.35">
      <c r="B79" s="50"/>
      <c r="C79" s="50"/>
    </row>
    <row r="80" spans="2:3" x14ac:dyDescent="0.35">
      <c r="B80" s="50"/>
      <c r="C80" s="50"/>
    </row>
    <row r="81" spans="2:3" x14ac:dyDescent="0.35">
      <c r="B81" s="50"/>
      <c r="C81" s="50"/>
    </row>
    <row r="82" spans="2:3" x14ac:dyDescent="0.35">
      <c r="B82" s="50"/>
      <c r="C82" s="50"/>
    </row>
    <row r="83" spans="2:3" x14ac:dyDescent="0.35">
      <c r="B83" s="50"/>
      <c r="C83" s="50"/>
    </row>
    <row r="84" spans="2:3" x14ac:dyDescent="0.35">
      <c r="B84" s="50"/>
      <c r="C84" s="50"/>
    </row>
    <row r="85" spans="2:3" x14ac:dyDescent="0.35">
      <c r="B85" s="50"/>
      <c r="C85" s="50"/>
    </row>
    <row r="86" spans="2:3" x14ac:dyDescent="0.35">
      <c r="B86" s="50"/>
      <c r="C86" s="50"/>
    </row>
    <row r="87" spans="2:3" x14ac:dyDescent="0.35">
      <c r="B87" s="50"/>
      <c r="C87" s="50"/>
    </row>
    <row r="88" spans="2:3" x14ac:dyDescent="0.35">
      <c r="B88" s="50"/>
      <c r="C88" s="50"/>
    </row>
    <row r="89" spans="2:3" x14ac:dyDescent="0.35">
      <c r="B89" s="50"/>
      <c r="C89" s="50"/>
    </row>
    <row r="90" spans="2:3" x14ac:dyDescent="0.35">
      <c r="B90" s="50"/>
      <c r="C90" s="50"/>
    </row>
    <row r="91" spans="2:3" x14ac:dyDescent="0.35">
      <c r="B91" s="50"/>
      <c r="C91" s="50"/>
    </row>
    <row r="92" spans="2:3" x14ac:dyDescent="0.35">
      <c r="B92" s="50"/>
      <c r="C92" s="50"/>
    </row>
    <row r="93" spans="2:3" x14ac:dyDescent="0.35">
      <c r="B93" s="50"/>
      <c r="C93" s="50"/>
    </row>
    <row r="94" spans="2:3" x14ac:dyDescent="0.35">
      <c r="B94" s="50"/>
      <c r="C94" s="50"/>
    </row>
    <row r="95" spans="2:3" x14ac:dyDescent="0.35">
      <c r="B95" s="50"/>
      <c r="C95" s="50"/>
    </row>
    <row r="96" spans="2:3" x14ac:dyDescent="0.35">
      <c r="B96" s="50"/>
      <c r="C96" s="50"/>
    </row>
    <row r="97" spans="2:3" x14ac:dyDescent="0.35">
      <c r="B97" s="50"/>
      <c r="C97" s="50"/>
    </row>
    <row r="98" spans="2:3" x14ac:dyDescent="0.35">
      <c r="B98" s="50"/>
      <c r="C98" s="50"/>
    </row>
    <row r="99" spans="2:3" x14ac:dyDescent="0.35">
      <c r="B99" s="50"/>
      <c r="C99" s="50"/>
    </row>
    <row r="100" spans="2:3" x14ac:dyDescent="0.35">
      <c r="B100" s="50"/>
      <c r="C100" s="50"/>
    </row>
    <row r="101" spans="2:3" x14ac:dyDescent="0.35">
      <c r="B101" s="50"/>
      <c r="C101" s="50"/>
    </row>
    <row r="102" spans="2:3" x14ac:dyDescent="0.35">
      <c r="B102" s="50"/>
      <c r="C102" s="50"/>
    </row>
    <row r="103" spans="2:3" x14ac:dyDescent="0.35">
      <c r="B103" s="50"/>
      <c r="C103" s="50"/>
    </row>
    <row r="104" spans="2:3" x14ac:dyDescent="0.35">
      <c r="B104" s="50"/>
      <c r="C104" s="50"/>
    </row>
    <row r="105" spans="2:3" x14ac:dyDescent="0.35">
      <c r="B105" s="50"/>
      <c r="C105" s="50"/>
    </row>
    <row r="106" spans="2:3" x14ac:dyDescent="0.35">
      <c r="B106" s="50"/>
      <c r="C106" s="50"/>
    </row>
    <row r="107" spans="2:3" x14ac:dyDescent="0.35">
      <c r="B107" s="50"/>
      <c r="C107" s="50"/>
    </row>
    <row r="108" spans="2:3" x14ac:dyDescent="0.35">
      <c r="B108" s="50"/>
      <c r="C108" s="50"/>
    </row>
    <row r="109" spans="2:3" x14ac:dyDescent="0.35">
      <c r="B109" s="50"/>
      <c r="C109" s="50"/>
    </row>
    <row r="110" spans="2:3" x14ac:dyDescent="0.35">
      <c r="B110" s="50"/>
      <c r="C110" s="50"/>
    </row>
    <row r="111" spans="2:3" x14ac:dyDescent="0.35">
      <c r="B111" s="50"/>
      <c r="C111" s="50"/>
    </row>
    <row r="112" spans="2:3" x14ac:dyDescent="0.35">
      <c r="B112" s="50"/>
      <c r="C112" s="50"/>
    </row>
    <row r="113" spans="2:3" x14ac:dyDescent="0.35">
      <c r="B113" s="50"/>
      <c r="C113" s="50"/>
    </row>
    <row r="114" spans="2:3" x14ac:dyDescent="0.35">
      <c r="B114" s="50"/>
      <c r="C114" s="50"/>
    </row>
    <row r="115" spans="2:3" x14ac:dyDescent="0.35">
      <c r="B115" s="50"/>
      <c r="C115" s="50"/>
    </row>
    <row r="116" spans="2:3" x14ac:dyDescent="0.35">
      <c r="B116" s="50"/>
      <c r="C116" s="50"/>
    </row>
    <row r="117" spans="2:3" x14ac:dyDescent="0.35">
      <c r="B117" s="50"/>
      <c r="C117" s="50"/>
    </row>
    <row r="118" spans="2:3" x14ac:dyDescent="0.35">
      <c r="B118" s="50"/>
      <c r="C118" s="50"/>
    </row>
    <row r="119" spans="2:3" x14ac:dyDescent="0.35">
      <c r="B119" s="50"/>
      <c r="C119" s="50"/>
    </row>
    <row r="120" spans="2:3" x14ac:dyDescent="0.35">
      <c r="B120" s="50"/>
      <c r="C120" s="50"/>
    </row>
    <row r="121" spans="2:3" x14ac:dyDescent="0.35">
      <c r="B121" s="50"/>
      <c r="C121" s="50"/>
    </row>
    <row r="122" spans="2:3" x14ac:dyDescent="0.35">
      <c r="B122" s="50"/>
      <c r="C122" s="50"/>
    </row>
    <row r="123" spans="2:3" x14ac:dyDescent="0.35">
      <c r="B123" s="50"/>
      <c r="C123" s="50"/>
    </row>
    <row r="124" spans="2:3" x14ac:dyDescent="0.35">
      <c r="B124" s="50"/>
      <c r="C124" s="50"/>
    </row>
    <row r="125" spans="2:3" x14ac:dyDescent="0.35">
      <c r="B125" s="50"/>
      <c r="C125" s="50"/>
    </row>
    <row r="126" spans="2:3" x14ac:dyDescent="0.35">
      <c r="B126" s="50"/>
      <c r="C126" s="50"/>
    </row>
    <row r="127" spans="2:3" x14ac:dyDescent="0.35">
      <c r="B127" s="50"/>
      <c r="C127" s="50"/>
    </row>
    <row r="128" spans="2:3" x14ac:dyDescent="0.35">
      <c r="B128" s="50"/>
      <c r="C128" s="50"/>
    </row>
    <row r="129" spans="2:3" x14ac:dyDescent="0.35">
      <c r="B129" s="50"/>
      <c r="C129" s="50"/>
    </row>
    <row r="130" spans="2:3" x14ac:dyDescent="0.35">
      <c r="B130" s="50"/>
      <c r="C130" s="50"/>
    </row>
    <row r="131" spans="2:3" x14ac:dyDescent="0.35">
      <c r="B131" s="50"/>
      <c r="C131" s="50"/>
    </row>
    <row r="132" spans="2:3" x14ac:dyDescent="0.35">
      <c r="B132" s="50"/>
      <c r="C132" s="50"/>
    </row>
    <row r="133" spans="2:3" x14ac:dyDescent="0.35">
      <c r="B133" s="50"/>
      <c r="C133" s="50"/>
    </row>
    <row r="134" spans="2:3" x14ac:dyDescent="0.35">
      <c r="B134" s="50"/>
      <c r="C134" s="50"/>
    </row>
    <row r="135" spans="2:3" x14ac:dyDescent="0.35">
      <c r="B135" s="50"/>
      <c r="C135" s="50"/>
    </row>
    <row r="136" spans="2:3" x14ac:dyDescent="0.35">
      <c r="B136" s="50"/>
      <c r="C136" s="50"/>
    </row>
    <row r="137" spans="2:3" x14ac:dyDescent="0.35">
      <c r="B137" s="50"/>
      <c r="C137" s="50"/>
    </row>
    <row r="138" spans="2:3" x14ac:dyDescent="0.35">
      <c r="B138" s="50"/>
      <c r="C138" s="50"/>
    </row>
    <row r="139" spans="2:3" x14ac:dyDescent="0.35">
      <c r="B139" s="50"/>
      <c r="C139" s="50"/>
    </row>
    <row r="140" spans="2:3" x14ac:dyDescent="0.35">
      <c r="B140" s="50"/>
      <c r="C140" s="50"/>
    </row>
    <row r="141" spans="2:3" x14ac:dyDescent="0.35">
      <c r="B141" s="50"/>
      <c r="C141" s="50"/>
    </row>
    <row r="142" spans="2:3" x14ac:dyDescent="0.35">
      <c r="B142" s="50"/>
      <c r="C142" s="50"/>
    </row>
    <row r="143" spans="2:3" x14ac:dyDescent="0.35">
      <c r="B143" s="50"/>
      <c r="C143" s="50"/>
    </row>
    <row r="144" spans="2:3" x14ac:dyDescent="0.35">
      <c r="B144" s="50"/>
      <c r="C144" s="50"/>
    </row>
    <row r="145" spans="2:3" x14ac:dyDescent="0.35">
      <c r="B145" s="50"/>
      <c r="C145" s="50"/>
    </row>
    <row r="146" spans="2:3" x14ac:dyDescent="0.35">
      <c r="B146" s="50"/>
      <c r="C146" s="50"/>
    </row>
    <row r="147" spans="2:3" x14ac:dyDescent="0.35">
      <c r="B147" s="50"/>
      <c r="C147" s="50"/>
    </row>
    <row r="148" spans="2:3" x14ac:dyDescent="0.35">
      <c r="B148" s="50"/>
      <c r="C148" s="50"/>
    </row>
    <row r="149" spans="2:3" x14ac:dyDescent="0.35">
      <c r="B149" s="50"/>
      <c r="C149" s="50"/>
    </row>
    <row r="150" spans="2:3" x14ac:dyDescent="0.35">
      <c r="B150" s="50"/>
      <c r="C150" s="50"/>
    </row>
    <row r="151" spans="2:3" x14ac:dyDescent="0.35">
      <c r="B151" s="50"/>
      <c r="C151" s="50"/>
    </row>
    <row r="152" spans="2:3" x14ac:dyDescent="0.35">
      <c r="B152" s="50"/>
      <c r="C152" s="50"/>
    </row>
    <row r="153" spans="2:3" x14ac:dyDescent="0.35">
      <c r="B153" s="50"/>
      <c r="C153" s="50"/>
    </row>
    <row r="154" spans="2:3" x14ac:dyDescent="0.35">
      <c r="B154" s="50"/>
      <c r="C154" s="50"/>
    </row>
    <row r="155" spans="2:3" x14ac:dyDescent="0.35">
      <c r="B155" s="50"/>
      <c r="C155" s="50"/>
    </row>
    <row r="156" spans="2:3" x14ac:dyDescent="0.35">
      <c r="B156" s="50"/>
      <c r="C156" s="50"/>
    </row>
    <row r="157" spans="2:3" x14ac:dyDescent="0.35">
      <c r="B157" s="50"/>
      <c r="C157" s="50"/>
    </row>
    <row r="158" spans="2:3" x14ac:dyDescent="0.35">
      <c r="B158" s="50"/>
      <c r="C158" s="50"/>
    </row>
    <row r="159" spans="2:3" x14ac:dyDescent="0.35">
      <c r="B159" s="50"/>
      <c r="C159" s="50"/>
    </row>
    <row r="160" spans="2:3" x14ac:dyDescent="0.35">
      <c r="B160" s="50"/>
      <c r="C160" s="50"/>
    </row>
    <row r="161" spans="2:3" x14ac:dyDescent="0.35">
      <c r="B161" s="50"/>
      <c r="C161" s="50"/>
    </row>
    <row r="162" spans="2:3" x14ac:dyDescent="0.35">
      <c r="B162" s="50"/>
      <c r="C162" s="50"/>
    </row>
    <row r="163" spans="2:3" x14ac:dyDescent="0.35">
      <c r="B163" s="50"/>
      <c r="C163" s="50"/>
    </row>
    <row r="164" spans="2:3" x14ac:dyDescent="0.35">
      <c r="B164" s="50"/>
      <c r="C164" s="50"/>
    </row>
    <row r="165" spans="2:3" x14ac:dyDescent="0.35">
      <c r="B165" s="50"/>
      <c r="C165" s="50"/>
    </row>
    <row r="166" spans="2:3" x14ac:dyDescent="0.35">
      <c r="B166" s="50"/>
      <c r="C166" s="50"/>
    </row>
    <row r="167" spans="2:3" x14ac:dyDescent="0.35">
      <c r="B167" s="50"/>
      <c r="C167" s="50"/>
    </row>
    <row r="168" spans="2:3" x14ac:dyDescent="0.35">
      <c r="B168" s="50"/>
      <c r="C168" s="50"/>
    </row>
    <row r="169" spans="2:3" x14ac:dyDescent="0.35">
      <c r="B169" s="50"/>
      <c r="C169" s="50"/>
    </row>
    <row r="170" spans="2:3" x14ac:dyDescent="0.35">
      <c r="B170" s="50"/>
      <c r="C170" s="50"/>
    </row>
    <row r="171" spans="2:3" x14ac:dyDescent="0.35">
      <c r="B171" s="50"/>
      <c r="C171" s="50"/>
    </row>
    <row r="172" spans="2:3" x14ac:dyDescent="0.35">
      <c r="B172" s="50"/>
      <c r="C172" s="50"/>
    </row>
    <row r="173" spans="2:3" x14ac:dyDescent="0.35">
      <c r="B173" s="50"/>
      <c r="C173" s="50"/>
    </row>
    <row r="174" spans="2:3" x14ac:dyDescent="0.35">
      <c r="B174" s="50"/>
      <c r="C174" s="50"/>
    </row>
    <row r="175" spans="2:3" x14ac:dyDescent="0.35">
      <c r="B175" s="50"/>
      <c r="C175" s="50"/>
    </row>
    <row r="176" spans="2:3" x14ac:dyDescent="0.35">
      <c r="B176" s="50"/>
      <c r="C176" s="50"/>
    </row>
    <row r="177" spans="2:3" x14ac:dyDescent="0.35">
      <c r="B177" s="50"/>
      <c r="C177" s="50"/>
    </row>
    <row r="178" spans="2:3" x14ac:dyDescent="0.35">
      <c r="B178" s="50"/>
      <c r="C178" s="50"/>
    </row>
    <row r="179" spans="2:3" x14ac:dyDescent="0.35">
      <c r="B179" s="50"/>
      <c r="C179" s="50"/>
    </row>
    <row r="180" spans="2:3" x14ac:dyDescent="0.35">
      <c r="B180" s="50"/>
      <c r="C180" s="50"/>
    </row>
    <row r="181" spans="2:3" x14ac:dyDescent="0.35">
      <c r="B181" s="50"/>
      <c r="C181" s="50"/>
    </row>
    <row r="182" spans="2:3" x14ac:dyDescent="0.35">
      <c r="B182" s="50"/>
      <c r="C182" s="50"/>
    </row>
    <row r="183" spans="2:3" x14ac:dyDescent="0.35">
      <c r="B183" s="50"/>
      <c r="C183" s="50"/>
    </row>
    <row r="184" spans="2:3" x14ac:dyDescent="0.35">
      <c r="B184" s="50"/>
      <c r="C184" s="50"/>
    </row>
    <row r="185" spans="2:3" x14ac:dyDescent="0.35">
      <c r="B185" s="50"/>
      <c r="C185" s="50"/>
    </row>
    <row r="186" spans="2:3" x14ac:dyDescent="0.35">
      <c r="B186" s="50"/>
      <c r="C186" s="50"/>
    </row>
    <row r="187" spans="2:3" x14ac:dyDescent="0.35">
      <c r="B187" s="50"/>
      <c r="C187" s="50"/>
    </row>
    <row r="188" spans="2:3" x14ac:dyDescent="0.35">
      <c r="B188" s="50"/>
      <c r="C188" s="50"/>
    </row>
    <row r="189" spans="2:3" x14ac:dyDescent="0.35">
      <c r="B189" s="50"/>
      <c r="C189" s="50"/>
    </row>
    <row r="190" spans="2:3" x14ac:dyDescent="0.35">
      <c r="B190" s="50"/>
      <c r="C190" s="50"/>
    </row>
    <row r="191" spans="2:3" x14ac:dyDescent="0.35">
      <c r="B191" s="50"/>
      <c r="C191" s="50"/>
    </row>
    <row r="192" spans="2:3" x14ac:dyDescent="0.35">
      <c r="B192" s="50"/>
      <c r="C192" s="50"/>
    </row>
    <row r="193" spans="2:3" x14ac:dyDescent="0.35">
      <c r="B193" s="50"/>
      <c r="C193" s="50"/>
    </row>
    <row r="194" spans="2:3" x14ac:dyDescent="0.35">
      <c r="B194" s="50"/>
      <c r="C194" s="50"/>
    </row>
    <row r="195" spans="2:3" x14ac:dyDescent="0.35">
      <c r="B195" s="50"/>
      <c r="C195" s="50"/>
    </row>
    <row r="196" spans="2:3" x14ac:dyDescent="0.35">
      <c r="B196" s="50"/>
      <c r="C196" s="50"/>
    </row>
    <row r="197" spans="2:3" x14ac:dyDescent="0.35">
      <c r="B197" s="50"/>
      <c r="C197" s="50"/>
    </row>
    <row r="198" spans="2:3" x14ac:dyDescent="0.35">
      <c r="B198" s="50"/>
      <c r="C198" s="50"/>
    </row>
    <row r="199" spans="2:3" x14ac:dyDescent="0.35">
      <c r="B199" s="50"/>
      <c r="C199" s="50"/>
    </row>
    <row r="200" spans="2:3" x14ac:dyDescent="0.35">
      <c r="B200" s="50"/>
      <c r="C200" s="50"/>
    </row>
    <row r="201" spans="2:3" x14ac:dyDescent="0.35">
      <c r="B201" s="50"/>
      <c r="C201" s="50"/>
    </row>
    <row r="202" spans="2:3" x14ac:dyDescent="0.35">
      <c r="B202" s="50"/>
      <c r="C202" s="50"/>
    </row>
    <row r="203" spans="2:3" x14ac:dyDescent="0.35">
      <c r="B203" s="50"/>
      <c r="C203" s="50"/>
    </row>
    <row r="204" spans="2:3" x14ac:dyDescent="0.35">
      <c r="B204" s="50"/>
      <c r="C204" s="50"/>
    </row>
    <row r="205" spans="2:3" x14ac:dyDescent="0.35">
      <c r="B205" s="50"/>
      <c r="C205" s="50"/>
    </row>
    <row r="206" spans="2:3" x14ac:dyDescent="0.35">
      <c r="B206" s="50"/>
      <c r="C206" s="50"/>
    </row>
    <row r="207" spans="2:3" x14ac:dyDescent="0.35">
      <c r="B207" s="50"/>
      <c r="C207" s="50"/>
    </row>
    <row r="208" spans="2:3" x14ac:dyDescent="0.35">
      <c r="B208" s="50"/>
      <c r="C208" s="50"/>
    </row>
    <row r="209" spans="2:3" x14ac:dyDescent="0.35">
      <c r="B209" s="50"/>
      <c r="C209" s="50"/>
    </row>
    <row r="210" spans="2:3" x14ac:dyDescent="0.35">
      <c r="B210" s="50"/>
      <c r="C210" s="50"/>
    </row>
    <row r="211" spans="2:3" x14ac:dyDescent="0.35">
      <c r="B211" s="50"/>
      <c r="C211" s="50"/>
    </row>
    <row r="212" spans="2:3" x14ac:dyDescent="0.35">
      <c r="B212" s="50"/>
      <c r="C212" s="50"/>
    </row>
    <row r="213" spans="2:3" x14ac:dyDescent="0.35">
      <c r="B213" s="50"/>
      <c r="C213" s="50"/>
    </row>
    <row r="214" spans="2:3" x14ac:dyDescent="0.35">
      <c r="B214" s="50"/>
      <c r="C214" s="50"/>
    </row>
    <row r="215" spans="2:3" x14ac:dyDescent="0.35">
      <c r="B215" s="50"/>
      <c r="C215" s="50"/>
    </row>
    <row r="216" spans="2:3" x14ac:dyDescent="0.35">
      <c r="B216" s="50"/>
      <c r="C216" s="50"/>
    </row>
    <row r="217" spans="2:3" x14ac:dyDescent="0.35">
      <c r="B217" s="50"/>
      <c r="C217" s="50"/>
    </row>
    <row r="218" spans="2:3" x14ac:dyDescent="0.35">
      <c r="B218" s="50"/>
      <c r="C218" s="50"/>
    </row>
    <row r="219" spans="2:3" x14ac:dyDescent="0.35">
      <c r="B219" s="50"/>
      <c r="C219" s="50"/>
    </row>
    <row r="220" spans="2:3" x14ac:dyDescent="0.35">
      <c r="B220" s="50"/>
      <c r="C220" s="50"/>
    </row>
    <row r="221" spans="2:3" x14ac:dyDescent="0.35">
      <c r="B221" s="50"/>
      <c r="C221" s="50"/>
    </row>
    <row r="222" spans="2:3" x14ac:dyDescent="0.35">
      <c r="B222" s="50"/>
      <c r="C222" s="50"/>
    </row>
    <row r="223" spans="2:3" x14ac:dyDescent="0.35">
      <c r="B223" s="50"/>
      <c r="C223" s="50"/>
    </row>
    <row r="224" spans="2:3" x14ac:dyDescent="0.35">
      <c r="B224" s="50"/>
      <c r="C224" s="50"/>
    </row>
    <row r="225" spans="2:3" x14ac:dyDescent="0.35">
      <c r="B225" s="50"/>
      <c r="C225" s="50"/>
    </row>
    <row r="226" spans="2:3" x14ac:dyDescent="0.35">
      <c r="B226" s="50"/>
      <c r="C226" s="50"/>
    </row>
    <row r="227" spans="2:3" x14ac:dyDescent="0.35">
      <c r="B227" s="50"/>
      <c r="C227" s="50"/>
    </row>
    <row r="228" spans="2:3" x14ac:dyDescent="0.35">
      <c r="B228" s="50"/>
      <c r="C228" s="50"/>
    </row>
    <row r="229" spans="2:3" x14ac:dyDescent="0.35">
      <c r="B229" s="50"/>
      <c r="C229" s="50"/>
    </row>
    <row r="230" spans="2:3" x14ac:dyDescent="0.35">
      <c r="B230" s="50"/>
      <c r="C230" s="50"/>
    </row>
    <row r="231" spans="2:3" x14ac:dyDescent="0.35">
      <c r="B231" s="50"/>
      <c r="C231" s="50"/>
    </row>
    <row r="232" spans="2:3" x14ac:dyDescent="0.35">
      <c r="B232" s="50"/>
      <c r="C232" s="50"/>
    </row>
    <row r="233" spans="2:3" x14ac:dyDescent="0.35">
      <c r="B233" s="50"/>
      <c r="C233" s="50"/>
    </row>
    <row r="234" spans="2:3" x14ac:dyDescent="0.35">
      <c r="B234" s="50"/>
      <c r="C234" s="50"/>
    </row>
    <row r="235" spans="2:3" x14ac:dyDescent="0.35">
      <c r="B235" s="50"/>
      <c r="C235" s="50"/>
    </row>
    <row r="236" spans="2:3" x14ac:dyDescent="0.35">
      <c r="B236" s="50"/>
      <c r="C236" s="50"/>
    </row>
    <row r="237" spans="2:3" x14ac:dyDescent="0.35">
      <c r="B237" s="50"/>
      <c r="C237" s="50"/>
    </row>
    <row r="238" spans="2:3" x14ac:dyDescent="0.35">
      <c r="B238" s="50"/>
      <c r="C238" s="50"/>
    </row>
    <row r="239" spans="2:3" x14ac:dyDescent="0.35">
      <c r="B239" s="50"/>
      <c r="C239" s="50"/>
    </row>
    <row r="240" spans="2:3" x14ac:dyDescent="0.35">
      <c r="B240" s="50"/>
      <c r="C240" s="50"/>
    </row>
    <row r="241" spans="2:3" x14ac:dyDescent="0.35">
      <c r="B241" s="50"/>
      <c r="C241" s="50"/>
    </row>
    <row r="242" spans="2:3" x14ac:dyDescent="0.35">
      <c r="B242" s="50"/>
      <c r="C242" s="50"/>
    </row>
    <row r="243" spans="2:3" x14ac:dyDescent="0.35">
      <c r="B243" s="50"/>
      <c r="C243" s="50"/>
    </row>
    <row r="244" spans="2:3" x14ac:dyDescent="0.35">
      <c r="B244" s="50"/>
      <c r="C244" s="50"/>
    </row>
    <row r="245" spans="2:3" x14ac:dyDescent="0.35">
      <c r="B245" s="50"/>
      <c r="C245" s="50"/>
    </row>
    <row r="246" spans="2:3" x14ac:dyDescent="0.35">
      <c r="B246" s="50"/>
      <c r="C246" s="50"/>
    </row>
    <row r="247" spans="2:3" x14ac:dyDescent="0.35">
      <c r="B247" s="50"/>
      <c r="C247" s="50"/>
    </row>
    <row r="248" spans="2:3" x14ac:dyDescent="0.35">
      <c r="B248" s="50"/>
      <c r="C248" s="50"/>
    </row>
    <row r="249" spans="2:3" x14ac:dyDescent="0.35">
      <c r="B249" s="50"/>
      <c r="C249" s="50"/>
    </row>
    <row r="250" spans="2:3" x14ac:dyDescent="0.35">
      <c r="B250" s="50"/>
      <c r="C250" s="50"/>
    </row>
    <row r="251" spans="2:3" x14ac:dyDescent="0.35">
      <c r="B251" s="50"/>
      <c r="C251" s="50"/>
    </row>
    <row r="252" spans="2:3" x14ac:dyDescent="0.35">
      <c r="B252" s="50"/>
      <c r="C252" s="50"/>
    </row>
    <row r="253" spans="2:3" x14ac:dyDescent="0.35">
      <c r="B253" s="50"/>
      <c r="C253" s="50"/>
    </row>
    <row r="254" spans="2:3" x14ac:dyDescent="0.35">
      <c r="B254" s="50"/>
      <c r="C254" s="50"/>
    </row>
    <row r="255" spans="2:3" x14ac:dyDescent="0.35">
      <c r="B255" s="50"/>
      <c r="C255" s="50"/>
    </row>
    <row r="256" spans="2:3" x14ac:dyDescent="0.35">
      <c r="B256" s="50"/>
      <c r="C256" s="50"/>
    </row>
    <row r="257" spans="2:3" x14ac:dyDescent="0.35">
      <c r="B257" s="50"/>
      <c r="C257" s="50"/>
    </row>
    <row r="258" spans="2:3" x14ac:dyDescent="0.35">
      <c r="B258" s="50"/>
      <c r="C258" s="50"/>
    </row>
    <row r="259" spans="2:3" x14ac:dyDescent="0.35">
      <c r="B259" s="50"/>
      <c r="C259" s="50"/>
    </row>
    <row r="260" spans="2:3" x14ac:dyDescent="0.35">
      <c r="B260" s="50"/>
      <c r="C260" s="50"/>
    </row>
    <row r="261" spans="2:3" x14ac:dyDescent="0.35">
      <c r="B261" s="50"/>
      <c r="C261" s="50"/>
    </row>
    <row r="262" spans="2:3" x14ac:dyDescent="0.35">
      <c r="B262" s="50"/>
      <c r="C262" s="50"/>
    </row>
    <row r="263" spans="2:3" x14ac:dyDescent="0.35">
      <c r="B263" s="50"/>
      <c r="C263" s="50"/>
    </row>
    <row r="264" spans="2:3" x14ac:dyDescent="0.35">
      <c r="B264" s="50"/>
      <c r="C264" s="50"/>
    </row>
    <row r="265" spans="2:3" x14ac:dyDescent="0.35">
      <c r="B265" s="50"/>
      <c r="C265" s="50"/>
    </row>
    <row r="266" spans="2:3" x14ac:dyDescent="0.35">
      <c r="B266" s="50"/>
      <c r="C266" s="50"/>
    </row>
    <row r="267" spans="2:3" x14ac:dyDescent="0.35">
      <c r="B267" s="50"/>
      <c r="C267" s="50"/>
    </row>
    <row r="268" spans="2:3" x14ac:dyDescent="0.35">
      <c r="B268" s="50"/>
      <c r="C268" s="50"/>
    </row>
    <row r="269" spans="2:3" x14ac:dyDescent="0.35">
      <c r="B269" s="50"/>
      <c r="C269" s="50"/>
    </row>
    <row r="270" spans="2:3" x14ac:dyDescent="0.35">
      <c r="B270" s="50"/>
      <c r="C270" s="50"/>
    </row>
    <row r="271" spans="2:3" x14ac:dyDescent="0.35">
      <c r="B271" s="50"/>
      <c r="C271" s="50"/>
    </row>
    <row r="272" spans="2:3" x14ac:dyDescent="0.35">
      <c r="B272" s="50"/>
      <c r="C272" s="50"/>
    </row>
    <row r="273" spans="2:3" x14ac:dyDescent="0.35">
      <c r="B273" s="50"/>
      <c r="C273" s="50"/>
    </row>
    <row r="274" spans="2:3" x14ac:dyDescent="0.35">
      <c r="B274" s="50"/>
      <c r="C274" s="50"/>
    </row>
    <row r="275" spans="2:3" x14ac:dyDescent="0.35">
      <c r="B275" s="50"/>
      <c r="C275" s="50"/>
    </row>
    <row r="276" spans="2:3" x14ac:dyDescent="0.35">
      <c r="B276" s="50"/>
      <c r="C276" s="50"/>
    </row>
    <row r="277" spans="2:3" x14ac:dyDescent="0.35">
      <c r="B277" s="50"/>
      <c r="C277" s="50"/>
    </row>
    <row r="278" spans="2:3" x14ac:dyDescent="0.35">
      <c r="B278" s="50"/>
      <c r="C278" s="50"/>
    </row>
    <row r="279" spans="2:3" x14ac:dyDescent="0.35">
      <c r="B279" s="50"/>
      <c r="C279" s="50"/>
    </row>
    <row r="280" spans="2:3" x14ac:dyDescent="0.35">
      <c r="B280" s="50"/>
      <c r="C280" s="50"/>
    </row>
    <row r="281" spans="2:3" x14ac:dyDescent="0.35">
      <c r="B281" s="50"/>
      <c r="C281" s="50"/>
    </row>
    <row r="282" spans="2:3" x14ac:dyDescent="0.35">
      <c r="B282" s="50"/>
      <c r="C282" s="50"/>
    </row>
    <row r="283" spans="2:3" x14ac:dyDescent="0.35">
      <c r="B283" s="50"/>
      <c r="C283" s="50"/>
    </row>
    <row r="284" spans="2:3" x14ac:dyDescent="0.35">
      <c r="B284" s="50"/>
      <c r="C284" s="50"/>
    </row>
    <row r="285" spans="2:3" x14ac:dyDescent="0.35">
      <c r="B285" s="50"/>
      <c r="C285" s="50"/>
    </row>
    <row r="286" spans="2:3" x14ac:dyDescent="0.35">
      <c r="B286" s="50"/>
      <c r="C286" s="50"/>
    </row>
    <row r="287" spans="2:3" x14ac:dyDescent="0.35">
      <c r="B287" s="50"/>
      <c r="C287" s="50"/>
    </row>
    <row r="288" spans="2:3" x14ac:dyDescent="0.35">
      <c r="B288" s="50"/>
      <c r="C288" s="50"/>
    </row>
    <row r="289" spans="2:3" x14ac:dyDescent="0.35">
      <c r="B289" s="50"/>
      <c r="C289" s="50"/>
    </row>
    <row r="290" spans="2:3" x14ac:dyDescent="0.35">
      <c r="B290" s="50"/>
      <c r="C290" s="50"/>
    </row>
    <row r="291" spans="2:3" x14ac:dyDescent="0.35">
      <c r="B291" s="50"/>
      <c r="C291" s="50"/>
    </row>
    <row r="292" spans="2:3" x14ac:dyDescent="0.35">
      <c r="B292" s="50"/>
      <c r="C292" s="50"/>
    </row>
    <row r="293" spans="2:3" x14ac:dyDescent="0.35">
      <c r="B293" s="50"/>
      <c r="C293" s="50"/>
    </row>
    <row r="294" spans="2:3" x14ac:dyDescent="0.35">
      <c r="B294" s="50"/>
      <c r="C294" s="50"/>
    </row>
    <row r="295" spans="2:3" x14ac:dyDescent="0.35">
      <c r="B295" s="50"/>
      <c r="C295" s="50"/>
    </row>
    <row r="296" spans="2:3" x14ac:dyDescent="0.35">
      <c r="B296" s="50"/>
      <c r="C296" s="50"/>
    </row>
    <row r="297" spans="2:3" x14ac:dyDescent="0.35">
      <c r="B297" s="50"/>
      <c r="C297" s="50"/>
    </row>
    <row r="298" spans="2:3" x14ac:dyDescent="0.35">
      <c r="B298" s="50"/>
      <c r="C298" s="50"/>
    </row>
    <row r="299" spans="2:3" x14ac:dyDescent="0.35">
      <c r="B299" s="50"/>
      <c r="C299" s="50"/>
    </row>
    <row r="300" spans="2:3" x14ac:dyDescent="0.35">
      <c r="B300" s="50"/>
      <c r="C300" s="50"/>
    </row>
    <row r="301" spans="2:3" x14ac:dyDescent="0.35">
      <c r="B301" s="50"/>
      <c r="C301" s="50"/>
    </row>
    <row r="302" spans="2:3" x14ac:dyDescent="0.35">
      <c r="B302" s="50"/>
      <c r="C302" s="50"/>
    </row>
    <row r="303" spans="2:3" x14ac:dyDescent="0.35">
      <c r="B303" s="50"/>
      <c r="C303" s="50"/>
    </row>
    <row r="304" spans="2:3" x14ac:dyDescent="0.35">
      <c r="B304" s="50"/>
      <c r="C304" s="50"/>
    </row>
    <row r="305" spans="2:3" x14ac:dyDescent="0.35">
      <c r="B305" s="50"/>
      <c r="C305" s="50"/>
    </row>
    <row r="306" spans="2:3" x14ac:dyDescent="0.35">
      <c r="B306" s="50"/>
      <c r="C306" s="50"/>
    </row>
    <row r="307" spans="2:3" x14ac:dyDescent="0.35">
      <c r="B307" s="50"/>
      <c r="C307" s="5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8"/>
  <sheetViews>
    <sheetView workbookViewId="0">
      <selection activeCell="J316" sqref="J316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hidden="1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hidden="1" x14ac:dyDescent="0.35">
      <c r="A8">
        <v>8</v>
      </c>
      <c r="B8" s="50">
        <v>0</v>
      </c>
      <c r="C8" s="50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 t="s">
        <v>60</v>
      </c>
      <c r="N8">
        <v>0</v>
      </c>
      <c r="O8">
        <v>0</v>
      </c>
      <c r="P8">
        <v>0</v>
      </c>
    </row>
    <row r="9" spans="1:35" hidden="1" x14ac:dyDescent="0.35">
      <c r="A9">
        <v>9</v>
      </c>
      <c r="B9" s="50">
        <v>0</v>
      </c>
      <c r="C9" s="50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60</v>
      </c>
      <c r="N9">
        <v>0</v>
      </c>
      <c r="O9">
        <v>0</v>
      </c>
      <c r="P9">
        <v>0</v>
      </c>
    </row>
    <row r="10" spans="1:35" hidden="1" x14ac:dyDescent="0.35">
      <c r="A10">
        <v>10</v>
      </c>
      <c r="B10" s="50">
        <v>0</v>
      </c>
      <c r="C10" s="5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t="s">
        <v>60</v>
      </c>
      <c r="N10">
        <v>0</v>
      </c>
      <c r="O10">
        <v>0</v>
      </c>
      <c r="P10">
        <v>0</v>
      </c>
    </row>
    <row r="11" spans="1:35" hidden="1" x14ac:dyDescent="0.35">
      <c r="A11">
        <v>11</v>
      </c>
      <c r="B11" s="50">
        <v>0</v>
      </c>
      <c r="C11" s="50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60</v>
      </c>
      <c r="N11">
        <v>0</v>
      </c>
      <c r="O11">
        <v>0</v>
      </c>
      <c r="P11">
        <v>0</v>
      </c>
    </row>
    <row r="12" spans="1:35" hidden="1" x14ac:dyDescent="0.35">
      <c r="A12">
        <v>12</v>
      </c>
      <c r="B12" s="50">
        <v>0</v>
      </c>
      <c r="C12" s="50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t="s">
        <v>60</v>
      </c>
      <c r="N12">
        <v>0</v>
      </c>
      <c r="O12">
        <v>0</v>
      </c>
      <c r="P12">
        <v>0</v>
      </c>
    </row>
    <row r="13" spans="1:35" hidden="1" x14ac:dyDescent="0.35">
      <c r="A13">
        <v>13</v>
      </c>
      <c r="B13" s="50">
        <v>0</v>
      </c>
      <c r="C13" s="50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60</v>
      </c>
      <c r="N13">
        <v>0</v>
      </c>
      <c r="O13">
        <v>0</v>
      </c>
      <c r="P13">
        <v>0</v>
      </c>
    </row>
    <row r="14" spans="1:35" hidden="1" x14ac:dyDescent="0.35">
      <c r="A14">
        <v>14</v>
      </c>
      <c r="B14" s="50">
        <v>0</v>
      </c>
      <c r="C14" s="50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60</v>
      </c>
      <c r="N14">
        <v>0</v>
      </c>
      <c r="O14">
        <v>0</v>
      </c>
      <c r="P14">
        <v>0</v>
      </c>
    </row>
    <row r="15" spans="1:35" hidden="1" x14ac:dyDescent="0.35">
      <c r="A15">
        <v>15</v>
      </c>
      <c r="B15" s="50">
        <v>0</v>
      </c>
      <c r="C15" s="50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60</v>
      </c>
      <c r="N15">
        <v>0</v>
      </c>
      <c r="O15">
        <v>0</v>
      </c>
      <c r="P15">
        <v>0</v>
      </c>
    </row>
    <row r="16" spans="1:35" hidden="1" x14ac:dyDescent="0.35">
      <c r="A16">
        <v>16</v>
      </c>
      <c r="B16" s="50">
        <v>0</v>
      </c>
      <c r="C16" s="50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t="s">
        <v>60</v>
      </c>
      <c r="N16">
        <v>0</v>
      </c>
      <c r="O16">
        <v>0</v>
      </c>
      <c r="P16">
        <v>0</v>
      </c>
    </row>
    <row r="17" spans="1:16" hidden="1" x14ac:dyDescent="0.35">
      <c r="A17">
        <v>17</v>
      </c>
      <c r="B17" s="50">
        <v>0</v>
      </c>
      <c r="C17" s="50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60</v>
      </c>
      <c r="N17">
        <v>0</v>
      </c>
      <c r="O17">
        <v>0</v>
      </c>
      <c r="P17">
        <v>0</v>
      </c>
    </row>
    <row r="18" spans="1:16" hidden="1" x14ac:dyDescent="0.35">
      <c r="A18">
        <v>18</v>
      </c>
      <c r="B18" s="50">
        <v>0</v>
      </c>
      <c r="C18" s="50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60</v>
      </c>
      <c r="N18">
        <v>0</v>
      </c>
      <c r="O18">
        <v>0</v>
      </c>
      <c r="P18">
        <v>0</v>
      </c>
    </row>
    <row r="19" spans="1:16" hidden="1" x14ac:dyDescent="0.35">
      <c r="A19">
        <v>19</v>
      </c>
      <c r="B19" s="50">
        <v>0</v>
      </c>
      <c r="C19" s="50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t="s">
        <v>60</v>
      </c>
      <c r="N19">
        <v>0</v>
      </c>
      <c r="O19">
        <v>0</v>
      </c>
      <c r="P19">
        <v>0</v>
      </c>
    </row>
    <row r="20" spans="1:16" hidden="1" x14ac:dyDescent="0.35">
      <c r="A20">
        <v>20</v>
      </c>
      <c r="B20" s="50">
        <v>0</v>
      </c>
      <c r="C20" s="5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 t="s">
        <v>60</v>
      </c>
      <c r="N20">
        <v>0</v>
      </c>
      <c r="O20">
        <v>0</v>
      </c>
      <c r="P20">
        <v>0</v>
      </c>
    </row>
    <row r="21" spans="1:16" hidden="1" x14ac:dyDescent="0.35">
      <c r="A21">
        <v>21</v>
      </c>
      <c r="B21" s="50">
        <v>0</v>
      </c>
      <c r="C21" s="50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60</v>
      </c>
      <c r="N21">
        <v>0</v>
      </c>
      <c r="O21">
        <v>0</v>
      </c>
      <c r="P21">
        <v>0</v>
      </c>
    </row>
    <row r="22" spans="1:16" hidden="1" x14ac:dyDescent="0.35">
      <c r="A22">
        <v>22</v>
      </c>
      <c r="B22" s="50">
        <v>0</v>
      </c>
      <c r="C22" s="50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60</v>
      </c>
      <c r="N22">
        <v>0</v>
      </c>
      <c r="O22">
        <v>0</v>
      </c>
      <c r="P22">
        <v>0</v>
      </c>
    </row>
    <row r="23" spans="1:16" hidden="1" x14ac:dyDescent="0.35">
      <c r="A23">
        <v>23</v>
      </c>
      <c r="B23" s="50">
        <v>0</v>
      </c>
      <c r="C23" s="50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60</v>
      </c>
      <c r="N23">
        <v>0</v>
      </c>
      <c r="O23">
        <v>0</v>
      </c>
      <c r="P23">
        <v>0</v>
      </c>
    </row>
    <row r="24" spans="1:16" hidden="1" x14ac:dyDescent="0.35">
      <c r="A24">
        <v>24</v>
      </c>
      <c r="B24" s="50">
        <v>0</v>
      </c>
      <c r="C24" s="50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 t="s">
        <v>60</v>
      </c>
      <c r="N24">
        <v>0</v>
      </c>
      <c r="O24">
        <v>0</v>
      </c>
      <c r="P24">
        <v>0</v>
      </c>
    </row>
    <row r="25" spans="1:16" hidden="1" x14ac:dyDescent="0.35">
      <c r="A25">
        <v>25</v>
      </c>
      <c r="B25" s="50">
        <v>0</v>
      </c>
      <c r="C25" s="50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60</v>
      </c>
      <c r="N25">
        <v>0</v>
      </c>
      <c r="O25">
        <v>0</v>
      </c>
      <c r="P25">
        <v>0</v>
      </c>
    </row>
    <row r="26" spans="1:16" hidden="1" x14ac:dyDescent="0.35">
      <c r="A26">
        <v>26</v>
      </c>
      <c r="B26" s="50">
        <v>0</v>
      </c>
      <c r="C26" s="50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60</v>
      </c>
      <c r="N26">
        <v>0</v>
      </c>
      <c r="O26">
        <v>0</v>
      </c>
      <c r="P26">
        <v>0</v>
      </c>
    </row>
    <row r="27" spans="1:16" hidden="1" x14ac:dyDescent="0.35">
      <c r="A27">
        <v>27</v>
      </c>
      <c r="B27" s="50">
        <v>0</v>
      </c>
      <c r="C27" s="50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 t="s">
        <v>60</v>
      </c>
      <c r="N27">
        <v>0</v>
      </c>
      <c r="O27">
        <v>0</v>
      </c>
      <c r="P27">
        <v>0</v>
      </c>
    </row>
    <row r="28" spans="1:16" hidden="1" x14ac:dyDescent="0.35">
      <c r="A28">
        <v>28</v>
      </c>
      <c r="B28" s="50">
        <v>0</v>
      </c>
      <c r="C28" s="50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60</v>
      </c>
      <c r="N28">
        <v>0</v>
      </c>
      <c r="O28">
        <v>0</v>
      </c>
      <c r="P28">
        <v>0</v>
      </c>
    </row>
    <row r="29" spans="1:16" hidden="1" x14ac:dyDescent="0.35">
      <c r="A29">
        <v>29</v>
      </c>
      <c r="B29" s="50">
        <v>0</v>
      </c>
      <c r="C29" s="50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60</v>
      </c>
      <c r="N29">
        <v>0</v>
      </c>
      <c r="O29">
        <v>0</v>
      </c>
      <c r="P29">
        <v>0</v>
      </c>
    </row>
    <row r="30" spans="1:16" hidden="1" x14ac:dyDescent="0.35">
      <c r="A30">
        <v>30</v>
      </c>
      <c r="B30" s="50">
        <v>0</v>
      </c>
      <c r="C30" s="5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 t="s">
        <v>60</v>
      </c>
      <c r="N30">
        <v>0</v>
      </c>
      <c r="O30">
        <v>0</v>
      </c>
      <c r="P30">
        <v>0</v>
      </c>
    </row>
    <row r="31" spans="1:16" hidden="1" x14ac:dyDescent="0.35">
      <c r="A31">
        <v>31</v>
      </c>
      <c r="B31" s="50">
        <v>0</v>
      </c>
      <c r="C31" s="50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 t="s">
        <v>60</v>
      </c>
      <c r="N31">
        <v>0</v>
      </c>
      <c r="O31">
        <v>0</v>
      </c>
      <c r="P31">
        <v>0</v>
      </c>
    </row>
    <row r="32" spans="1:16" hidden="1" x14ac:dyDescent="0.35">
      <c r="A32">
        <v>32</v>
      </c>
      <c r="B32" s="50">
        <v>0</v>
      </c>
      <c r="C32" s="50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 t="s">
        <v>60</v>
      </c>
      <c r="N32">
        <v>0</v>
      </c>
      <c r="O32">
        <v>0</v>
      </c>
      <c r="P32">
        <v>0</v>
      </c>
    </row>
    <row r="33" spans="1:16" hidden="1" x14ac:dyDescent="0.35">
      <c r="A33">
        <v>33</v>
      </c>
      <c r="B33" s="50">
        <v>0</v>
      </c>
      <c r="C33" s="50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 t="s">
        <v>60</v>
      </c>
      <c r="N33">
        <v>0</v>
      </c>
      <c r="O33">
        <v>0</v>
      </c>
      <c r="P33">
        <v>0</v>
      </c>
    </row>
    <row r="34" spans="1:16" hidden="1" x14ac:dyDescent="0.35">
      <c r="A34">
        <v>34</v>
      </c>
      <c r="B34" s="50">
        <v>0</v>
      </c>
      <c r="C34" s="50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60</v>
      </c>
      <c r="N34">
        <v>0</v>
      </c>
      <c r="O34">
        <v>0</v>
      </c>
      <c r="P34">
        <v>0</v>
      </c>
    </row>
    <row r="35" spans="1:16" hidden="1" x14ac:dyDescent="0.35">
      <c r="A35">
        <v>35</v>
      </c>
      <c r="B35" s="50">
        <v>0</v>
      </c>
      <c r="C35" s="50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 t="s">
        <v>60</v>
      </c>
      <c r="N35">
        <v>0</v>
      </c>
      <c r="O35">
        <v>0</v>
      </c>
      <c r="P35">
        <v>0</v>
      </c>
    </row>
    <row r="36" spans="1:16" hidden="1" x14ac:dyDescent="0.35">
      <c r="A36">
        <v>36</v>
      </c>
      <c r="B36" s="50">
        <v>0</v>
      </c>
      <c r="C36" s="50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 t="s">
        <v>60</v>
      </c>
      <c r="N36">
        <v>0</v>
      </c>
      <c r="O36">
        <v>0</v>
      </c>
      <c r="P36">
        <v>0</v>
      </c>
    </row>
    <row r="37" spans="1:16" hidden="1" x14ac:dyDescent="0.35">
      <c r="A37">
        <v>37</v>
      </c>
      <c r="B37" s="50">
        <v>0</v>
      </c>
      <c r="C37" s="50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60</v>
      </c>
      <c r="N37">
        <v>0</v>
      </c>
      <c r="O37">
        <v>0</v>
      </c>
      <c r="P37">
        <v>0</v>
      </c>
    </row>
    <row r="38" spans="1:16" hidden="1" x14ac:dyDescent="0.35">
      <c r="A38">
        <v>38</v>
      </c>
      <c r="B38" s="50">
        <v>0</v>
      </c>
      <c r="C38" s="50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60</v>
      </c>
      <c r="N38">
        <v>0</v>
      </c>
      <c r="O38">
        <v>0</v>
      </c>
      <c r="P38">
        <v>0</v>
      </c>
    </row>
    <row r="39" spans="1:16" hidden="1" x14ac:dyDescent="0.35">
      <c r="A39">
        <v>39</v>
      </c>
      <c r="B39" s="50">
        <v>0</v>
      </c>
      <c r="C39" s="50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 t="s">
        <v>60</v>
      </c>
      <c r="N39">
        <v>0</v>
      </c>
      <c r="O39">
        <v>0</v>
      </c>
      <c r="P39">
        <v>0</v>
      </c>
    </row>
    <row r="40" spans="1:16" hidden="1" x14ac:dyDescent="0.35">
      <c r="A40">
        <v>40</v>
      </c>
      <c r="B40" s="50">
        <v>0</v>
      </c>
      <c r="C40" s="5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 t="s">
        <v>60</v>
      </c>
      <c r="N40">
        <v>0</v>
      </c>
      <c r="O40">
        <v>0</v>
      </c>
      <c r="P40">
        <v>0</v>
      </c>
    </row>
    <row r="41" spans="1:16" hidden="1" x14ac:dyDescent="0.35">
      <c r="A41">
        <v>41</v>
      </c>
      <c r="B41" s="50">
        <v>0</v>
      </c>
      <c r="C41" s="50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t="s">
        <v>60</v>
      </c>
      <c r="N41">
        <v>0</v>
      </c>
      <c r="O41">
        <v>0</v>
      </c>
      <c r="P41">
        <v>0</v>
      </c>
    </row>
    <row r="42" spans="1:16" hidden="1" x14ac:dyDescent="0.35">
      <c r="A42">
        <v>42</v>
      </c>
      <c r="B42" s="50">
        <v>0</v>
      </c>
      <c r="C42" s="50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60</v>
      </c>
      <c r="N42">
        <v>0</v>
      </c>
      <c r="O42">
        <v>0</v>
      </c>
      <c r="P42">
        <v>0</v>
      </c>
    </row>
    <row r="43" spans="1:16" hidden="1" x14ac:dyDescent="0.35">
      <c r="A43">
        <v>43</v>
      </c>
      <c r="B43" s="50">
        <v>0</v>
      </c>
      <c r="C43" s="50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60</v>
      </c>
      <c r="N43">
        <v>0</v>
      </c>
      <c r="O43">
        <v>0</v>
      </c>
      <c r="P43">
        <v>0</v>
      </c>
    </row>
    <row r="44" spans="1:16" hidden="1" x14ac:dyDescent="0.35">
      <c r="A44">
        <v>44</v>
      </c>
      <c r="B44" s="50">
        <v>0</v>
      </c>
      <c r="C44" s="50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60</v>
      </c>
      <c r="N44">
        <v>0</v>
      </c>
      <c r="O44">
        <v>0</v>
      </c>
      <c r="P44">
        <v>0</v>
      </c>
    </row>
    <row r="45" spans="1:16" hidden="1" x14ac:dyDescent="0.35">
      <c r="A45">
        <v>45</v>
      </c>
      <c r="B45" s="50">
        <v>0</v>
      </c>
      <c r="C45" s="50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60</v>
      </c>
      <c r="N45">
        <v>0</v>
      </c>
      <c r="O45">
        <v>0</v>
      </c>
      <c r="P45">
        <v>0</v>
      </c>
    </row>
    <row r="46" spans="1:16" hidden="1" x14ac:dyDescent="0.35">
      <c r="A46">
        <v>46</v>
      </c>
      <c r="B46" s="50">
        <v>0</v>
      </c>
      <c r="C46" s="50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60</v>
      </c>
      <c r="N46">
        <v>0</v>
      </c>
      <c r="O46">
        <v>0</v>
      </c>
      <c r="P46">
        <v>0</v>
      </c>
    </row>
    <row r="47" spans="1:16" hidden="1" x14ac:dyDescent="0.35">
      <c r="A47">
        <v>47</v>
      </c>
      <c r="B47" s="50">
        <v>0</v>
      </c>
      <c r="C47" s="50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 t="s">
        <v>60</v>
      </c>
      <c r="N47">
        <v>0</v>
      </c>
      <c r="O47">
        <v>0</v>
      </c>
      <c r="P47">
        <v>0</v>
      </c>
    </row>
    <row r="48" spans="1:16" hidden="1" x14ac:dyDescent="0.35">
      <c r="A48">
        <v>48</v>
      </c>
      <c r="B48" s="50">
        <v>0</v>
      </c>
      <c r="C48" s="50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60</v>
      </c>
      <c r="N48">
        <v>0</v>
      </c>
      <c r="O48">
        <v>0</v>
      </c>
      <c r="P48">
        <v>0</v>
      </c>
    </row>
    <row r="49" spans="1:16" hidden="1" x14ac:dyDescent="0.35">
      <c r="A49">
        <v>49</v>
      </c>
      <c r="B49" s="50">
        <v>0</v>
      </c>
      <c r="C49" s="50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 t="s">
        <v>60</v>
      </c>
      <c r="N49">
        <v>0</v>
      </c>
      <c r="O49">
        <v>0</v>
      </c>
      <c r="P49">
        <v>0</v>
      </c>
    </row>
    <row r="50" spans="1:16" hidden="1" x14ac:dyDescent="0.35">
      <c r="A50">
        <v>50</v>
      </c>
      <c r="B50" s="50">
        <v>0</v>
      </c>
      <c r="C50" s="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s">
        <v>60</v>
      </c>
      <c r="N50">
        <v>0</v>
      </c>
      <c r="O50">
        <v>0</v>
      </c>
      <c r="P50">
        <v>0</v>
      </c>
    </row>
    <row r="51" spans="1:16" hidden="1" x14ac:dyDescent="0.35">
      <c r="A51">
        <v>51</v>
      </c>
      <c r="B51" s="50">
        <v>0</v>
      </c>
      <c r="C51" s="50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 t="s">
        <v>60</v>
      </c>
      <c r="N51">
        <v>0</v>
      </c>
      <c r="O51">
        <v>0</v>
      </c>
      <c r="P51">
        <v>0</v>
      </c>
    </row>
    <row r="52" spans="1:16" hidden="1" x14ac:dyDescent="0.35">
      <c r="A52">
        <v>52</v>
      </c>
      <c r="B52" s="50">
        <v>0</v>
      </c>
      <c r="C52" s="50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t="s">
        <v>60</v>
      </c>
      <c r="N52">
        <v>0</v>
      </c>
      <c r="O52">
        <v>0</v>
      </c>
      <c r="P52">
        <v>0</v>
      </c>
    </row>
    <row r="53" spans="1:16" hidden="1" x14ac:dyDescent="0.35">
      <c r="A53">
        <v>53</v>
      </c>
      <c r="B53" s="50">
        <v>0</v>
      </c>
      <c r="C53" s="50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t="s">
        <v>60</v>
      </c>
      <c r="N53">
        <v>0</v>
      </c>
      <c r="O53">
        <v>0</v>
      </c>
      <c r="P53">
        <v>0</v>
      </c>
    </row>
    <row r="54" spans="1:16" hidden="1" x14ac:dyDescent="0.35">
      <c r="A54">
        <v>54</v>
      </c>
      <c r="B54" s="50">
        <v>0</v>
      </c>
      <c r="C54" s="50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 t="s">
        <v>60</v>
      </c>
      <c r="N54">
        <v>0</v>
      </c>
      <c r="O54">
        <v>0</v>
      </c>
      <c r="P54">
        <v>0</v>
      </c>
    </row>
    <row r="55" spans="1:16" hidden="1" x14ac:dyDescent="0.35">
      <c r="A55">
        <v>55</v>
      </c>
      <c r="B55" s="50">
        <v>0</v>
      </c>
      <c r="C55" s="50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60</v>
      </c>
      <c r="N55">
        <v>0</v>
      </c>
      <c r="O55">
        <v>0</v>
      </c>
      <c r="P55">
        <v>0</v>
      </c>
    </row>
    <row r="56" spans="1:16" hidden="1" x14ac:dyDescent="0.35">
      <c r="A56">
        <v>56</v>
      </c>
      <c r="B56" s="50">
        <v>0</v>
      </c>
      <c r="C56" s="50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s">
        <v>60</v>
      </c>
      <c r="N56">
        <v>0</v>
      </c>
      <c r="O56">
        <v>0</v>
      </c>
      <c r="P56">
        <v>0</v>
      </c>
    </row>
    <row r="57" spans="1:16" hidden="1" x14ac:dyDescent="0.35">
      <c r="A57">
        <v>57</v>
      </c>
      <c r="B57" s="50">
        <v>0</v>
      </c>
      <c r="C57" s="50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t="s">
        <v>60</v>
      </c>
      <c r="N57">
        <v>0</v>
      </c>
      <c r="O57">
        <v>0</v>
      </c>
      <c r="P57">
        <v>0</v>
      </c>
    </row>
    <row r="58" spans="1:16" hidden="1" x14ac:dyDescent="0.35">
      <c r="A58">
        <v>58</v>
      </c>
      <c r="B58" s="50">
        <v>0</v>
      </c>
      <c r="C58" s="50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s">
        <v>60</v>
      </c>
      <c r="N58">
        <v>0</v>
      </c>
      <c r="O58">
        <v>0</v>
      </c>
      <c r="P58">
        <v>0</v>
      </c>
    </row>
    <row r="59" spans="1:16" hidden="1" x14ac:dyDescent="0.35">
      <c r="A59">
        <v>59</v>
      </c>
      <c r="B59" s="50">
        <v>0</v>
      </c>
      <c r="C59" s="50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s">
        <v>60</v>
      </c>
      <c r="N59">
        <v>0</v>
      </c>
      <c r="O59">
        <v>0</v>
      </c>
      <c r="P59">
        <v>0</v>
      </c>
    </row>
    <row r="60" spans="1:16" hidden="1" x14ac:dyDescent="0.35">
      <c r="A60">
        <v>60</v>
      </c>
      <c r="B60" s="50">
        <v>0</v>
      </c>
      <c r="C60" s="5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t="s">
        <v>60</v>
      </c>
      <c r="N60">
        <v>0</v>
      </c>
      <c r="O60">
        <v>0</v>
      </c>
      <c r="P60">
        <v>0</v>
      </c>
    </row>
    <row r="61" spans="1:16" hidden="1" x14ac:dyDescent="0.35">
      <c r="A61">
        <v>61</v>
      </c>
      <c r="B61" s="50">
        <v>0</v>
      </c>
      <c r="C61" s="50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t="s">
        <v>60</v>
      </c>
      <c r="N61">
        <v>0</v>
      </c>
      <c r="O61">
        <v>0</v>
      </c>
      <c r="P61">
        <v>0</v>
      </c>
    </row>
    <row r="62" spans="1:16" hidden="1" x14ac:dyDescent="0.35">
      <c r="A62">
        <v>62</v>
      </c>
      <c r="B62" s="50">
        <v>0</v>
      </c>
      <c r="C62" s="50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 t="s">
        <v>60</v>
      </c>
      <c r="N62">
        <v>0</v>
      </c>
      <c r="O62">
        <v>0</v>
      </c>
      <c r="P62">
        <v>0</v>
      </c>
    </row>
    <row r="63" spans="1:16" hidden="1" x14ac:dyDescent="0.35">
      <c r="A63">
        <v>63</v>
      </c>
      <c r="B63" s="50">
        <v>0</v>
      </c>
      <c r="C63" s="50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 t="s">
        <v>60</v>
      </c>
      <c r="N63">
        <v>0</v>
      </c>
      <c r="O63">
        <v>0</v>
      </c>
      <c r="P63">
        <v>0</v>
      </c>
    </row>
    <row r="64" spans="1:16" hidden="1" x14ac:dyDescent="0.35">
      <c r="A64">
        <v>64</v>
      </c>
      <c r="B64" s="50">
        <v>0</v>
      </c>
      <c r="C64" s="50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t="s">
        <v>60</v>
      </c>
      <c r="N64">
        <v>0</v>
      </c>
      <c r="O64">
        <v>0</v>
      </c>
      <c r="P64">
        <v>0</v>
      </c>
    </row>
    <row r="65" spans="1:16" hidden="1" x14ac:dyDescent="0.35">
      <c r="A65">
        <v>65</v>
      </c>
      <c r="B65" s="50">
        <v>0</v>
      </c>
      <c r="C65" s="50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t="s">
        <v>60</v>
      </c>
      <c r="N65">
        <v>0</v>
      </c>
      <c r="O65">
        <v>0</v>
      </c>
      <c r="P65">
        <v>0</v>
      </c>
    </row>
    <row r="66" spans="1:16" hidden="1" x14ac:dyDescent="0.35">
      <c r="A66">
        <v>66</v>
      </c>
      <c r="B66" s="50">
        <v>0</v>
      </c>
      <c r="C66" s="50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 t="s">
        <v>60</v>
      </c>
      <c r="N66">
        <v>0</v>
      </c>
      <c r="O66">
        <v>0</v>
      </c>
      <c r="P66">
        <v>0</v>
      </c>
    </row>
    <row r="67" spans="1:16" hidden="1" x14ac:dyDescent="0.35">
      <c r="A67">
        <v>67</v>
      </c>
      <c r="B67" s="50">
        <v>0</v>
      </c>
      <c r="C67" s="50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 t="s">
        <v>60</v>
      </c>
      <c r="N67">
        <v>0</v>
      </c>
      <c r="O67">
        <v>0</v>
      </c>
      <c r="P67">
        <v>0</v>
      </c>
    </row>
    <row r="68" spans="1:16" hidden="1" x14ac:dyDescent="0.35">
      <c r="A68">
        <v>68</v>
      </c>
      <c r="B68" s="50">
        <v>0</v>
      </c>
      <c r="C68" s="50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 t="s">
        <v>60</v>
      </c>
      <c r="N68">
        <v>0</v>
      </c>
      <c r="O68">
        <v>0</v>
      </c>
      <c r="P68">
        <v>0</v>
      </c>
    </row>
    <row r="69" spans="1:16" hidden="1" x14ac:dyDescent="0.35">
      <c r="A69">
        <v>69</v>
      </c>
      <c r="B69" s="50">
        <v>0</v>
      </c>
      <c r="C69" s="50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 t="s">
        <v>60</v>
      </c>
      <c r="N69">
        <v>0</v>
      </c>
      <c r="O69">
        <v>0</v>
      </c>
      <c r="P69">
        <v>0</v>
      </c>
    </row>
    <row r="70" spans="1:16" hidden="1" x14ac:dyDescent="0.35">
      <c r="A70">
        <v>70</v>
      </c>
      <c r="B70" s="50">
        <v>0</v>
      </c>
      <c r="C70" s="5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 t="s">
        <v>60</v>
      </c>
      <c r="N70">
        <v>0</v>
      </c>
      <c r="O70">
        <v>0</v>
      </c>
      <c r="P70">
        <v>0</v>
      </c>
    </row>
    <row r="71" spans="1:16" hidden="1" x14ac:dyDescent="0.35">
      <c r="A71">
        <v>71</v>
      </c>
      <c r="B71" s="50">
        <v>0</v>
      </c>
      <c r="C71" s="50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 t="s">
        <v>60</v>
      </c>
      <c r="N71">
        <v>0</v>
      </c>
      <c r="O71">
        <v>0</v>
      </c>
      <c r="P71">
        <v>0</v>
      </c>
    </row>
    <row r="72" spans="1:16" hidden="1" x14ac:dyDescent="0.35">
      <c r="A72">
        <v>72</v>
      </c>
      <c r="B72" s="50">
        <v>0</v>
      </c>
      <c r="C72" s="50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 t="s">
        <v>60</v>
      </c>
      <c r="N72">
        <v>0</v>
      </c>
      <c r="O72">
        <v>0</v>
      </c>
      <c r="P72">
        <v>0</v>
      </c>
    </row>
    <row r="73" spans="1:16" hidden="1" x14ac:dyDescent="0.35">
      <c r="A73">
        <v>73</v>
      </c>
      <c r="B73" s="50">
        <v>0</v>
      </c>
      <c r="C73" s="50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 t="s">
        <v>60</v>
      </c>
      <c r="N73">
        <v>0</v>
      </c>
      <c r="O73">
        <v>0</v>
      </c>
      <c r="P73">
        <v>0</v>
      </c>
    </row>
    <row r="74" spans="1:16" hidden="1" x14ac:dyDescent="0.35">
      <c r="A74">
        <v>74</v>
      </c>
      <c r="B74" s="50">
        <v>0</v>
      </c>
      <c r="C74" s="50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 t="s">
        <v>60</v>
      </c>
      <c r="N74">
        <v>0</v>
      </c>
      <c r="O74">
        <v>0</v>
      </c>
      <c r="P74">
        <v>0</v>
      </c>
    </row>
    <row r="75" spans="1:16" hidden="1" x14ac:dyDescent="0.35">
      <c r="A75">
        <v>75</v>
      </c>
      <c r="B75" s="50">
        <v>0</v>
      </c>
      <c r="C75" s="50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 t="s">
        <v>60</v>
      </c>
      <c r="N75">
        <v>0</v>
      </c>
      <c r="O75">
        <v>0</v>
      </c>
      <c r="P75">
        <v>0</v>
      </c>
    </row>
    <row r="76" spans="1:16" hidden="1" x14ac:dyDescent="0.35">
      <c r="A76">
        <v>76</v>
      </c>
      <c r="B76" s="50">
        <v>0</v>
      </c>
      <c r="C76" s="50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 t="s">
        <v>60</v>
      </c>
      <c r="N76">
        <v>0</v>
      </c>
      <c r="O76">
        <v>0</v>
      </c>
      <c r="P76">
        <v>0</v>
      </c>
    </row>
    <row r="77" spans="1:16" hidden="1" x14ac:dyDescent="0.35">
      <c r="A77">
        <v>77</v>
      </c>
      <c r="B77" s="50">
        <v>0</v>
      </c>
      <c r="C77" s="50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 t="s">
        <v>60</v>
      </c>
      <c r="N77">
        <v>0</v>
      </c>
      <c r="O77">
        <v>0</v>
      </c>
      <c r="P77">
        <v>0</v>
      </c>
    </row>
    <row r="78" spans="1:16" hidden="1" x14ac:dyDescent="0.35">
      <c r="A78">
        <v>78</v>
      </c>
      <c r="B78" s="50">
        <v>0</v>
      </c>
      <c r="C78" s="50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 t="s">
        <v>60</v>
      </c>
      <c r="N78">
        <v>0</v>
      </c>
      <c r="O78">
        <v>0</v>
      </c>
      <c r="P78">
        <v>0</v>
      </c>
    </row>
    <row r="79" spans="1:16" hidden="1" x14ac:dyDescent="0.35">
      <c r="A79">
        <v>79</v>
      </c>
      <c r="B79" s="50">
        <v>0</v>
      </c>
      <c r="C79" s="50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 t="s">
        <v>60</v>
      </c>
      <c r="N79">
        <v>0</v>
      </c>
      <c r="O79">
        <v>0</v>
      </c>
      <c r="P79">
        <v>0</v>
      </c>
    </row>
    <row r="80" spans="1:16" hidden="1" x14ac:dyDescent="0.35">
      <c r="A80">
        <v>80</v>
      </c>
      <c r="B80" s="50">
        <v>0</v>
      </c>
      <c r="C80" s="5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t="s">
        <v>60</v>
      </c>
      <c r="N80">
        <v>0</v>
      </c>
      <c r="O80">
        <v>0</v>
      </c>
      <c r="P80">
        <v>0</v>
      </c>
    </row>
    <row r="81" spans="1:16" hidden="1" x14ac:dyDescent="0.35">
      <c r="A81">
        <v>81</v>
      </c>
      <c r="B81" s="50">
        <v>0</v>
      </c>
      <c r="C81" s="50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t="s">
        <v>60</v>
      </c>
      <c r="N81">
        <v>0</v>
      </c>
      <c r="O81">
        <v>0</v>
      </c>
      <c r="P81">
        <v>0</v>
      </c>
    </row>
    <row r="82" spans="1:16" hidden="1" x14ac:dyDescent="0.35">
      <c r="A82">
        <v>82</v>
      </c>
      <c r="B82" s="50">
        <v>0</v>
      </c>
      <c r="C82" s="50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 t="s">
        <v>60</v>
      </c>
      <c r="N82">
        <v>0</v>
      </c>
      <c r="O82">
        <v>0</v>
      </c>
      <c r="P82">
        <v>0</v>
      </c>
    </row>
    <row r="83" spans="1:16" hidden="1" x14ac:dyDescent="0.35">
      <c r="A83">
        <v>83</v>
      </c>
      <c r="B83" s="50">
        <v>0</v>
      </c>
      <c r="C83" s="50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t="s">
        <v>60</v>
      </c>
      <c r="N83">
        <v>0</v>
      </c>
      <c r="O83">
        <v>0</v>
      </c>
      <c r="P83">
        <v>0</v>
      </c>
    </row>
    <row r="84" spans="1:16" hidden="1" x14ac:dyDescent="0.35">
      <c r="A84">
        <v>84</v>
      </c>
      <c r="B84" s="50">
        <v>0</v>
      </c>
      <c r="C84" s="50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 t="s">
        <v>60</v>
      </c>
      <c r="N84">
        <v>0</v>
      </c>
      <c r="O84">
        <v>0</v>
      </c>
      <c r="P84">
        <v>0</v>
      </c>
    </row>
    <row r="85" spans="1:16" hidden="1" x14ac:dyDescent="0.35">
      <c r="A85">
        <v>85</v>
      </c>
      <c r="B85" s="50">
        <v>0</v>
      </c>
      <c r="C85" s="50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 t="s">
        <v>60</v>
      </c>
      <c r="N85">
        <v>0</v>
      </c>
      <c r="O85">
        <v>0</v>
      </c>
      <c r="P85">
        <v>0</v>
      </c>
    </row>
    <row r="86" spans="1:16" hidden="1" x14ac:dyDescent="0.35">
      <c r="A86">
        <v>86</v>
      </c>
      <c r="B86" s="50">
        <v>0</v>
      </c>
      <c r="C86" s="50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 t="s">
        <v>60</v>
      </c>
      <c r="N86">
        <v>0</v>
      </c>
      <c r="O86">
        <v>0</v>
      </c>
      <c r="P86">
        <v>0</v>
      </c>
    </row>
    <row r="87" spans="1:16" hidden="1" x14ac:dyDescent="0.35">
      <c r="A87">
        <v>87</v>
      </c>
      <c r="B87" s="50">
        <v>0</v>
      </c>
      <c r="C87" s="50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 t="s">
        <v>60</v>
      </c>
      <c r="N87">
        <v>0</v>
      </c>
      <c r="O87">
        <v>0</v>
      </c>
      <c r="P87">
        <v>0</v>
      </c>
    </row>
    <row r="88" spans="1:16" hidden="1" x14ac:dyDescent="0.35">
      <c r="A88">
        <v>88</v>
      </c>
      <c r="B88" s="50">
        <v>0</v>
      </c>
      <c r="C88" s="50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 t="s">
        <v>60</v>
      </c>
      <c r="N88">
        <v>0</v>
      </c>
      <c r="O88">
        <v>0</v>
      </c>
      <c r="P88">
        <v>0</v>
      </c>
    </row>
    <row r="89" spans="1:16" hidden="1" x14ac:dyDescent="0.35">
      <c r="A89">
        <v>89</v>
      </c>
      <c r="B89" s="50">
        <v>0</v>
      </c>
      <c r="C89" s="50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 t="s">
        <v>60</v>
      </c>
      <c r="N89">
        <v>0</v>
      </c>
      <c r="O89">
        <v>0</v>
      </c>
      <c r="P89">
        <v>0</v>
      </c>
    </row>
    <row r="90" spans="1:16" hidden="1" x14ac:dyDescent="0.35">
      <c r="A90">
        <v>90</v>
      </c>
      <c r="B90" s="50">
        <v>0</v>
      </c>
      <c r="C90" s="5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L90" t="s">
        <v>60</v>
      </c>
      <c r="N90">
        <v>0</v>
      </c>
      <c r="O90">
        <v>0</v>
      </c>
      <c r="P90">
        <v>0</v>
      </c>
    </row>
    <row r="91" spans="1:16" hidden="1" x14ac:dyDescent="0.35">
      <c r="A91">
        <v>91</v>
      </c>
      <c r="B91" s="50">
        <v>0</v>
      </c>
      <c r="C91" s="50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 t="s">
        <v>60</v>
      </c>
      <c r="N91">
        <v>0</v>
      </c>
      <c r="O91">
        <v>0</v>
      </c>
      <c r="P91">
        <v>0</v>
      </c>
    </row>
    <row r="92" spans="1:16" hidden="1" x14ac:dyDescent="0.35">
      <c r="A92">
        <v>92</v>
      </c>
      <c r="B92" s="50">
        <v>0</v>
      </c>
      <c r="C92" s="50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 t="s">
        <v>60</v>
      </c>
      <c r="N92">
        <v>0</v>
      </c>
      <c r="O92">
        <v>0</v>
      </c>
      <c r="P92">
        <v>0</v>
      </c>
    </row>
    <row r="93" spans="1:16" hidden="1" x14ac:dyDescent="0.35">
      <c r="A93">
        <v>93</v>
      </c>
      <c r="B93" s="50">
        <v>0</v>
      </c>
      <c r="C93" s="50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 t="s">
        <v>60</v>
      </c>
      <c r="N93">
        <v>0</v>
      </c>
      <c r="O93">
        <v>0</v>
      </c>
      <c r="P93">
        <v>0</v>
      </c>
    </row>
    <row r="94" spans="1:16" hidden="1" x14ac:dyDescent="0.35">
      <c r="A94">
        <v>94</v>
      </c>
      <c r="B94" s="50">
        <v>0</v>
      </c>
      <c r="C94" s="50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60</v>
      </c>
      <c r="N94">
        <v>0</v>
      </c>
      <c r="O94">
        <v>0</v>
      </c>
      <c r="P94">
        <v>0</v>
      </c>
    </row>
    <row r="95" spans="1:16" hidden="1" x14ac:dyDescent="0.35">
      <c r="A95">
        <v>95</v>
      </c>
      <c r="B95" s="50">
        <v>0</v>
      </c>
      <c r="C95" s="50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 t="s">
        <v>60</v>
      </c>
      <c r="N95">
        <v>0</v>
      </c>
      <c r="O95">
        <v>0</v>
      </c>
      <c r="P95">
        <v>0</v>
      </c>
    </row>
    <row r="96" spans="1:16" hidden="1" x14ac:dyDescent="0.35">
      <c r="A96">
        <v>96</v>
      </c>
      <c r="B96" s="50">
        <v>0</v>
      </c>
      <c r="C96" s="50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 t="s">
        <v>60</v>
      </c>
      <c r="N96">
        <v>0</v>
      </c>
      <c r="O96">
        <v>0</v>
      </c>
      <c r="P96">
        <v>0</v>
      </c>
    </row>
    <row r="97" spans="1:16" hidden="1" x14ac:dyDescent="0.35">
      <c r="A97">
        <v>97</v>
      </c>
      <c r="B97" s="50">
        <v>0</v>
      </c>
      <c r="C97" s="50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 t="s">
        <v>60</v>
      </c>
      <c r="N97">
        <v>0</v>
      </c>
      <c r="O97">
        <v>0</v>
      </c>
      <c r="P97">
        <v>0</v>
      </c>
    </row>
    <row r="98" spans="1:16" hidden="1" x14ac:dyDescent="0.35">
      <c r="A98">
        <v>98</v>
      </c>
      <c r="B98" s="50">
        <v>0</v>
      </c>
      <c r="C98" s="50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 t="s">
        <v>60</v>
      </c>
      <c r="N98">
        <v>0</v>
      </c>
      <c r="O98">
        <v>0</v>
      </c>
      <c r="P98">
        <v>0</v>
      </c>
    </row>
    <row r="99" spans="1:16" hidden="1" x14ac:dyDescent="0.35">
      <c r="A99">
        <v>99</v>
      </c>
      <c r="B99" s="50">
        <v>0</v>
      </c>
      <c r="C99" s="50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 t="s">
        <v>60</v>
      </c>
      <c r="N99">
        <v>0</v>
      </c>
      <c r="O99">
        <v>0</v>
      </c>
      <c r="P99">
        <v>0</v>
      </c>
    </row>
    <row r="100" spans="1:16" hidden="1" x14ac:dyDescent="0.35">
      <c r="A100">
        <v>100</v>
      </c>
      <c r="B100" s="50">
        <v>0</v>
      </c>
      <c r="C100" s="5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 t="s">
        <v>60</v>
      </c>
      <c r="N100">
        <v>0</v>
      </c>
      <c r="O100">
        <v>0</v>
      </c>
      <c r="P100">
        <v>0</v>
      </c>
    </row>
    <row r="101" spans="1:16" hidden="1" x14ac:dyDescent="0.35">
      <c r="A101">
        <v>101</v>
      </c>
      <c r="B101" s="50">
        <v>0</v>
      </c>
      <c r="C101" s="50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 t="s">
        <v>60</v>
      </c>
      <c r="N101">
        <v>0</v>
      </c>
      <c r="O101">
        <v>0</v>
      </c>
      <c r="P101">
        <v>0</v>
      </c>
    </row>
    <row r="102" spans="1:16" hidden="1" x14ac:dyDescent="0.35">
      <c r="A102">
        <v>102</v>
      </c>
      <c r="B102" s="50">
        <v>0</v>
      </c>
      <c r="C102" s="50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 t="s">
        <v>60</v>
      </c>
      <c r="N102">
        <v>0</v>
      </c>
      <c r="O102">
        <v>0</v>
      </c>
      <c r="P102">
        <v>0</v>
      </c>
    </row>
    <row r="103" spans="1:16" hidden="1" x14ac:dyDescent="0.35">
      <c r="A103">
        <v>103</v>
      </c>
      <c r="B103" s="50">
        <v>0</v>
      </c>
      <c r="C103" s="50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 t="s">
        <v>60</v>
      </c>
      <c r="N103">
        <v>0</v>
      </c>
      <c r="O103">
        <v>0</v>
      </c>
      <c r="P103">
        <v>0</v>
      </c>
    </row>
    <row r="104" spans="1:16" hidden="1" x14ac:dyDescent="0.35">
      <c r="A104">
        <v>104</v>
      </c>
      <c r="B104" s="50">
        <v>0</v>
      </c>
      <c r="C104" s="50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 t="s">
        <v>60</v>
      </c>
      <c r="N104">
        <v>0</v>
      </c>
      <c r="O104">
        <v>0</v>
      </c>
      <c r="P104">
        <v>0</v>
      </c>
    </row>
    <row r="105" spans="1:16" hidden="1" x14ac:dyDescent="0.35">
      <c r="A105">
        <v>105</v>
      </c>
      <c r="B105" s="50">
        <v>0</v>
      </c>
      <c r="C105" s="50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 t="s">
        <v>60</v>
      </c>
      <c r="N105">
        <v>0</v>
      </c>
      <c r="O105">
        <v>0</v>
      </c>
      <c r="P105">
        <v>0</v>
      </c>
    </row>
    <row r="106" spans="1:16" hidden="1" x14ac:dyDescent="0.35">
      <c r="A106">
        <v>106</v>
      </c>
      <c r="B106" s="50">
        <v>0</v>
      </c>
      <c r="C106" s="50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 t="s">
        <v>60</v>
      </c>
      <c r="N106">
        <v>0</v>
      </c>
      <c r="O106">
        <v>0</v>
      </c>
      <c r="P106">
        <v>0</v>
      </c>
    </row>
    <row r="107" spans="1:16" hidden="1" x14ac:dyDescent="0.35">
      <c r="A107">
        <v>107</v>
      </c>
      <c r="B107" s="50">
        <v>0</v>
      </c>
      <c r="C107" s="50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 t="s">
        <v>60</v>
      </c>
      <c r="N107">
        <v>0</v>
      </c>
      <c r="O107">
        <v>0</v>
      </c>
      <c r="P107">
        <v>0</v>
      </c>
    </row>
    <row r="108" spans="1:16" hidden="1" x14ac:dyDescent="0.35">
      <c r="A108">
        <v>108</v>
      </c>
      <c r="B108" s="50">
        <v>0</v>
      </c>
      <c r="C108" s="50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 t="s">
        <v>60</v>
      </c>
      <c r="N108">
        <v>0</v>
      </c>
      <c r="O108">
        <v>0</v>
      </c>
      <c r="P108">
        <v>0</v>
      </c>
    </row>
    <row r="109" spans="1:16" hidden="1" x14ac:dyDescent="0.35">
      <c r="A109">
        <v>109</v>
      </c>
      <c r="B109" s="50">
        <v>0</v>
      </c>
      <c r="C109" s="50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60</v>
      </c>
      <c r="N109">
        <v>0</v>
      </c>
      <c r="O109">
        <v>0</v>
      </c>
      <c r="P109">
        <v>0</v>
      </c>
    </row>
    <row r="110" spans="1:16" hidden="1" x14ac:dyDescent="0.35">
      <c r="A110">
        <v>110</v>
      </c>
      <c r="B110" s="50">
        <v>0</v>
      </c>
      <c r="C110" s="5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 t="s">
        <v>60</v>
      </c>
      <c r="N110">
        <v>0</v>
      </c>
      <c r="O110">
        <v>0</v>
      </c>
      <c r="P110">
        <v>0</v>
      </c>
    </row>
    <row r="111" spans="1:16" hidden="1" x14ac:dyDescent="0.35">
      <c r="A111">
        <v>111</v>
      </c>
      <c r="B111" s="50">
        <v>0</v>
      </c>
      <c r="C111" s="50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 t="s">
        <v>60</v>
      </c>
      <c r="N111">
        <v>0</v>
      </c>
      <c r="O111">
        <v>0</v>
      </c>
      <c r="P111">
        <v>0</v>
      </c>
    </row>
    <row r="112" spans="1:16" hidden="1" x14ac:dyDescent="0.35">
      <c r="A112">
        <v>112</v>
      </c>
      <c r="B112" s="50">
        <v>0</v>
      </c>
      <c r="C112" s="50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 t="s">
        <v>60</v>
      </c>
      <c r="N112">
        <v>0</v>
      </c>
      <c r="O112">
        <v>0</v>
      </c>
      <c r="P112">
        <v>0</v>
      </c>
    </row>
    <row r="113" spans="1:16" hidden="1" x14ac:dyDescent="0.35">
      <c r="A113">
        <v>113</v>
      </c>
      <c r="B113" s="50">
        <v>0</v>
      </c>
      <c r="C113" s="50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 t="s">
        <v>60</v>
      </c>
      <c r="N113">
        <v>0</v>
      </c>
      <c r="O113">
        <v>0</v>
      </c>
      <c r="P113">
        <v>0</v>
      </c>
    </row>
    <row r="114" spans="1:16" hidden="1" x14ac:dyDescent="0.35">
      <c r="A114">
        <v>114</v>
      </c>
      <c r="B114" s="50">
        <v>0</v>
      </c>
      <c r="C114" s="50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 t="s">
        <v>60</v>
      </c>
      <c r="N114">
        <v>0</v>
      </c>
      <c r="O114">
        <v>0</v>
      </c>
      <c r="P114">
        <v>0</v>
      </c>
    </row>
    <row r="115" spans="1:16" hidden="1" x14ac:dyDescent="0.35">
      <c r="A115">
        <v>115</v>
      </c>
      <c r="B115" s="50">
        <v>0</v>
      </c>
      <c r="C115" s="50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 t="s">
        <v>60</v>
      </c>
      <c r="N115">
        <v>0</v>
      </c>
      <c r="O115">
        <v>0</v>
      </c>
      <c r="P115">
        <v>0</v>
      </c>
    </row>
    <row r="116" spans="1:16" hidden="1" x14ac:dyDescent="0.35">
      <c r="A116">
        <v>116</v>
      </c>
      <c r="B116" s="50">
        <v>0</v>
      </c>
      <c r="C116" s="50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 t="s">
        <v>60</v>
      </c>
      <c r="N116">
        <v>0</v>
      </c>
      <c r="O116">
        <v>0</v>
      </c>
      <c r="P116">
        <v>0</v>
      </c>
    </row>
    <row r="117" spans="1:16" hidden="1" x14ac:dyDescent="0.35">
      <c r="A117">
        <v>117</v>
      </c>
      <c r="B117" s="50">
        <v>0</v>
      </c>
      <c r="C117" s="50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 t="s">
        <v>60</v>
      </c>
      <c r="N117">
        <v>0</v>
      </c>
      <c r="O117">
        <v>0</v>
      </c>
      <c r="P117">
        <v>0</v>
      </c>
    </row>
    <row r="118" spans="1:16" hidden="1" x14ac:dyDescent="0.35">
      <c r="A118">
        <v>118</v>
      </c>
      <c r="B118" s="50">
        <v>0</v>
      </c>
      <c r="C118" s="50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60</v>
      </c>
      <c r="N118">
        <v>0</v>
      </c>
      <c r="O118">
        <v>0</v>
      </c>
      <c r="P118">
        <v>0</v>
      </c>
    </row>
    <row r="119" spans="1:16" hidden="1" x14ac:dyDescent="0.35">
      <c r="A119">
        <v>119</v>
      </c>
      <c r="B119" s="50">
        <v>0</v>
      </c>
      <c r="C119" s="50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 t="s">
        <v>60</v>
      </c>
      <c r="N119">
        <v>0</v>
      </c>
      <c r="O119">
        <v>0</v>
      </c>
      <c r="P119">
        <v>0</v>
      </c>
    </row>
    <row r="120" spans="1:16" hidden="1" x14ac:dyDescent="0.35">
      <c r="A120">
        <v>120</v>
      </c>
      <c r="B120" s="50">
        <v>0</v>
      </c>
      <c r="C120" s="5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 t="s">
        <v>60</v>
      </c>
      <c r="N120">
        <v>0</v>
      </c>
      <c r="O120">
        <v>0</v>
      </c>
      <c r="P120">
        <v>0</v>
      </c>
    </row>
    <row r="121" spans="1:16" hidden="1" x14ac:dyDescent="0.35">
      <c r="A121">
        <v>121</v>
      </c>
      <c r="B121" s="50">
        <v>0</v>
      </c>
      <c r="C121" s="50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 t="s">
        <v>60</v>
      </c>
      <c r="N121">
        <v>0</v>
      </c>
      <c r="O121">
        <v>0</v>
      </c>
      <c r="P121">
        <v>0</v>
      </c>
    </row>
    <row r="122" spans="1:16" hidden="1" x14ac:dyDescent="0.35">
      <c r="A122">
        <v>122</v>
      </c>
      <c r="B122" s="50">
        <v>0</v>
      </c>
      <c r="C122" s="50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s">
        <v>60</v>
      </c>
      <c r="N122">
        <v>0</v>
      </c>
      <c r="O122">
        <v>0</v>
      </c>
      <c r="P122">
        <v>0</v>
      </c>
    </row>
    <row r="123" spans="1:16" hidden="1" x14ac:dyDescent="0.35">
      <c r="A123">
        <v>123</v>
      </c>
      <c r="B123" s="50">
        <v>0</v>
      </c>
      <c r="C123" s="50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 t="s">
        <v>60</v>
      </c>
      <c r="N123">
        <v>0</v>
      </c>
      <c r="O123">
        <v>0</v>
      </c>
      <c r="P123">
        <v>0</v>
      </c>
    </row>
    <row r="124" spans="1:16" hidden="1" x14ac:dyDescent="0.35">
      <c r="A124">
        <v>124</v>
      </c>
      <c r="B124" s="50">
        <v>0</v>
      </c>
      <c r="C124" s="50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s">
        <v>60</v>
      </c>
      <c r="N124">
        <v>0</v>
      </c>
      <c r="O124">
        <v>0</v>
      </c>
      <c r="P124">
        <v>0</v>
      </c>
    </row>
    <row r="125" spans="1:16" hidden="1" x14ac:dyDescent="0.35">
      <c r="A125">
        <v>125</v>
      </c>
      <c r="B125" s="50">
        <v>0</v>
      </c>
      <c r="C125" s="50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 t="s">
        <v>60</v>
      </c>
      <c r="N125">
        <v>0</v>
      </c>
      <c r="O125">
        <v>0</v>
      </c>
      <c r="P125">
        <v>0</v>
      </c>
    </row>
    <row r="126" spans="1:16" hidden="1" x14ac:dyDescent="0.35">
      <c r="A126">
        <v>126</v>
      </c>
      <c r="B126" s="50">
        <v>0</v>
      </c>
      <c r="C126" s="50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 t="s">
        <v>60</v>
      </c>
      <c r="N126">
        <v>0</v>
      </c>
      <c r="O126">
        <v>0</v>
      </c>
      <c r="P126">
        <v>0</v>
      </c>
    </row>
    <row r="127" spans="1:16" hidden="1" x14ac:dyDescent="0.35">
      <c r="A127">
        <v>127</v>
      </c>
      <c r="B127" s="50">
        <v>0</v>
      </c>
      <c r="C127" s="50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 t="s">
        <v>60</v>
      </c>
      <c r="N127">
        <v>0</v>
      </c>
      <c r="O127">
        <v>0</v>
      </c>
      <c r="P127">
        <v>0</v>
      </c>
    </row>
    <row r="128" spans="1:16" hidden="1" x14ac:dyDescent="0.35">
      <c r="A128">
        <v>128</v>
      </c>
      <c r="B128" s="50">
        <v>0</v>
      </c>
      <c r="C128" s="50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 t="s">
        <v>60</v>
      </c>
      <c r="N128">
        <v>0</v>
      </c>
      <c r="O128">
        <v>0</v>
      </c>
      <c r="P128">
        <v>0</v>
      </c>
    </row>
    <row r="129" spans="1:16" hidden="1" x14ac:dyDescent="0.35">
      <c r="A129">
        <v>129</v>
      </c>
      <c r="B129" s="50">
        <v>0</v>
      </c>
      <c r="C129" s="50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 t="s">
        <v>60</v>
      </c>
      <c r="N129">
        <v>0</v>
      </c>
      <c r="O129">
        <v>0</v>
      </c>
      <c r="P129">
        <v>0</v>
      </c>
    </row>
    <row r="130" spans="1:16" hidden="1" x14ac:dyDescent="0.35">
      <c r="A130">
        <v>130</v>
      </c>
      <c r="B130" s="50">
        <v>0</v>
      </c>
      <c r="C130" s="5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L130" t="s">
        <v>60</v>
      </c>
      <c r="N130">
        <v>0</v>
      </c>
      <c r="O130">
        <v>0</v>
      </c>
      <c r="P130">
        <v>0</v>
      </c>
    </row>
    <row r="131" spans="1:16" hidden="1" x14ac:dyDescent="0.35">
      <c r="A131">
        <v>131</v>
      </c>
      <c r="B131" s="50">
        <v>0</v>
      </c>
      <c r="C131" s="50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 t="s">
        <v>60</v>
      </c>
      <c r="N131">
        <v>0</v>
      </c>
      <c r="O131">
        <v>0</v>
      </c>
      <c r="P131">
        <v>0</v>
      </c>
    </row>
    <row r="132" spans="1:16" hidden="1" x14ac:dyDescent="0.35">
      <c r="A132">
        <v>132</v>
      </c>
      <c r="B132" s="50">
        <v>0</v>
      </c>
      <c r="C132" s="50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s">
        <v>60</v>
      </c>
      <c r="N132">
        <v>0</v>
      </c>
      <c r="O132">
        <v>0</v>
      </c>
      <c r="P132">
        <v>0</v>
      </c>
    </row>
    <row r="133" spans="1:16" hidden="1" x14ac:dyDescent="0.35">
      <c r="A133">
        <v>133</v>
      </c>
      <c r="B133" s="50">
        <v>0</v>
      </c>
      <c r="C133" s="50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60</v>
      </c>
      <c r="N133">
        <v>0</v>
      </c>
      <c r="O133">
        <v>0</v>
      </c>
      <c r="P133">
        <v>0</v>
      </c>
    </row>
    <row r="134" spans="1:16" hidden="1" x14ac:dyDescent="0.35">
      <c r="A134">
        <v>134</v>
      </c>
      <c r="B134" s="50">
        <v>0</v>
      </c>
      <c r="C134" s="50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s">
        <v>60</v>
      </c>
      <c r="N134">
        <v>0</v>
      </c>
      <c r="O134">
        <v>0</v>
      </c>
      <c r="P134">
        <v>0</v>
      </c>
    </row>
    <row r="135" spans="1:16" hidden="1" x14ac:dyDescent="0.35">
      <c r="A135">
        <v>135</v>
      </c>
      <c r="B135" s="50">
        <v>0</v>
      </c>
      <c r="C135" s="50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s">
        <v>60</v>
      </c>
      <c r="N135">
        <v>0</v>
      </c>
      <c r="O135">
        <v>0</v>
      </c>
      <c r="P135">
        <v>0</v>
      </c>
    </row>
    <row r="136" spans="1:16" hidden="1" x14ac:dyDescent="0.35">
      <c r="A136">
        <v>136</v>
      </c>
      <c r="B136" s="50">
        <v>0</v>
      </c>
      <c r="C136" s="50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 t="s">
        <v>60</v>
      </c>
      <c r="N136">
        <v>0</v>
      </c>
      <c r="O136">
        <v>0</v>
      </c>
      <c r="P136">
        <v>0</v>
      </c>
    </row>
    <row r="137" spans="1:16" hidden="1" x14ac:dyDescent="0.35">
      <c r="A137">
        <v>137</v>
      </c>
      <c r="B137" s="50">
        <v>0</v>
      </c>
      <c r="C137" s="50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L137" t="s">
        <v>60</v>
      </c>
      <c r="N137">
        <v>0</v>
      </c>
      <c r="O137">
        <v>0</v>
      </c>
      <c r="P137">
        <v>0</v>
      </c>
    </row>
    <row r="138" spans="1:16" hidden="1" x14ac:dyDescent="0.35">
      <c r="A138">
        <v>138</v>
      </c>
      <c r="B138" s="50">
        <v>0</v>
      </c>
      <c r="C138" s="50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L138" t="s">
        <v>60</v>
      </c>
      <c r="N138">
        <v>0</v>
      </c>
      <c r="O138">
        <v>0</v>
      </c>
      <c r="P138">
        <v>0</v>
      </c>
    </row>
    <row r="139" spans="1:16" hidden="1" x14ac:dyDescent="0.35">
      <c r="A139">
        <v>139</v>
      </c>
      <c r="B139" s="50">
        <v>0</v>
      </c>
      <c r="C139" s="50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0</v>
      </c>
      <c r="L139" t="s">
        <v>60</v>
      </c>
      <c r="N139">
        <v>0</v>
      </c>
      <c r="O139">
        <v>0</v>
      </c>
      <c r="P139">
        <v>0</v>
      </c>
    </row>
    <row r="140" spans="1:16" hidden="1" x14ac:dyDescent="0.35">
      <c r="A140">
        <v>140</v>
      </c>
      <c r="B140" s="50">
        <v>0</v>
      </c>
      <c r="C140" s="5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  <c r="L140" t="s">
        <v>60</v>
      </c>
      <c r="N140">
        <v>0</v>
      </c>
      <c r="O140">
        <v>0</v>
      </c>
      <c r="P140">
        <v>0</v>
      </c>
    </row>
    <row r="141" spans="1:16" hidden="1" x14ac:dyDescent="0.35">
      <c r="A141">
        <v>141</v>
      </c>
      <c r="B141" s="50">
        <v>0</v>
      </c>
      <c r="C141" s="50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</v>
      </c>
      <c r="J141">
        <v>0</v>
      </c>
      <c r="L141" t="s">
        <v>60</v>
      </c>
      <c r="N141">
        <v>0</v>
      </c>
      <c r="O141">
        <v>0</v>
      </c>
      <c r="P141">
        <v>0</v>
      </c>
    </row>
    <row r="142" spans="1:16" hidden="1" x14ac:dyDescent="0.35">
      <c r="A142">
        <v>142</v>
      </c>
      <c r="B142" s="50">
        <v>0</v>
      </c>
      <c r="C142" s="50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</v>
      </c>
      <c r="J142">
        <v>0</v>
      </c>
      <c r="L142" t="s">
        <v>60</v>
      </c>
      <c r="N142">
        <v>0</v>
      </c>
      <c r="O142">
        <v>0</v>
      </c>
      <c r="P142">
        <v>0</v>
      </c>
    </row>
    <row r="143" spans="1:16" hidden="1" x14ac:dyDescent="0.35">
      <c r="A143">
        <v>143</v>
      </c>
      <c r="B143" s="50">
        <v>0</v>
      </c>
      <c r="C143" s="50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  <c r="L143" t="s">
        <v>60</v>
      </c>
      <c r="N143">
        <v>0</v>
      </c>
      <c r="O143">
        <v>0</v>
      </c>
      <c r="P143">
        <v>0</v>
      </c>
    </row>
    <row r="144" spans="1:16" hidden="1" x14ac:dyDescent="0.35">
      <c r="A144">
        <v>144</v>
      </c>
      <c r="B144" s="50">
        <v>0</v>
      </c>
      <c r="C144" s="50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8</v>
      </c>
      <c r="J144">
        <v>0</v>
      </c>
      <c r="L144" t="s">
        <v>60</v>
      </c>
      <c r="N144">
        <v>0</v>
      </c>
      <c r="O144">
        <v>0</v>
      </c>
      <c r="P144">
        <v>0</v>
      </c>
    </row>
    <row r="145" spans="1:16" hidden="1" x14ac:dyDescent="0.35">
      <c r="A145">
        <v>145</v>
      </c>
      <c r="B145" s="50">
        <v>0</v>
      </c>
      <c r="C145" s="50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</v>
      </c>
      <c r="J145">
        <v>0</v>
      </c>
      <c r="L145" t="s">
        <v>60</v>
      </c>
      <c r="N145">
        <v>0</v>
      </c>
      <c r="O145">
        <v>0</v>
      </c>
      <c r="P145">
        <v>0</v>
      </c>
    </row>
    <row r="146" spans="1:16" hidden="1" x14ac:dyDescent="0.35">
      <c r="A146">
        <v>146</v>
      </c>
      <c r="B146" s="50">
        <v>0</v>
      </c>
      <c r="C146" s="50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</v>
      </c>
      <c r="J146">
        <v>0</v>
      </c>
      <c r="L146" t="s">
        <v>60</v>
      </c>
      <c r="N146">
        <v>0</v>
      </c>
      <c r="O146">
        <v>0</v>
      </c>
      <c r="P146">
        <v>0</v>
      </c>
    </row>
    <row r="147" spans="1:16" hidden="1" x14ac:dyDescent="0.35">
      <c r="A147">
        <v>147</v>
      </c>
      <c r="B147" s="50">
        <v>0</v>
      </c>
      <c r="C147" s="50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11</v>
      </c>
      <c r="J147">
        <v>0</v>
      </c>
      <c r="L147" t="s">
        <v>60</v>
      </c>
      <c r="N147">
        <v>0</v>
      </c>
      <c r="O147">
        <v>0</v>
      </c>
      <c r="P147">
        <v>0</v>
      </c>
    </row>
    <row r="148" spans="1:16" hidden="1" x14ac:dyDescent="0.35">
      <c r="A148">
        <v>148</v>
      </c>
      <c r="B148" s="50">
        <v>0</v>
      </c>
      <c r="C148" s="50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12</v>
      </c>
      <c r="J148">
        <v>0</v>
      </c>
      <c r="L148" t="s">
        <v>60</v>
      </c>
      <c r="N148">
        <v>0</v>
      </c>
      <c r="O148">
        <v>0</v>
      </c>
      <c r="P148">
        <v>0</v>
      </c>
    </row>
    <row r="149" spans="1:16" hidden="1" x14ac:dyDescent="0.35">
      <c r="A149">
        <v>149</v>
      </c>
      <c r="B149" s="50">
        <v>0</v>
      </c>
      <c r="C149" s="50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13</v>
      </c>
      <c r="J149">
        <v>0</v>
      </c>
      <c r="L149" t="s">
        <v>60</v>
      </c>
      <c r="N149">
        <v>0</v>
      </c>
      <c r="O149">
        <v>0</v>
      </c>
      <c r="P149">
        <v>0</v>
      </c>
    </row>
    <row r="150" spans="1:16" hidden="1" x14ac:dyDescent="0.35">
      <c r="A150">
        <v>150</v>
      </c>
      <c r="B150" s="50">
        <v>0</v>
      </c>
      <c r="C150" s="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</v>
      </c>
      <c r="J150">
        <v>0</v>
      </c>
      <c r="L150" t="s">
        <v>60</v>
      </c>
      <c r="N150">
        <v>0</v>
      </c>
      <c r="O150">
        <v>0</v>
      </c>
      <c r="P150">
        <v>0</v>
      </c>
    </row>
    <row r="151" spans="1:16" hidden="1" x14ac:dyDescent="0.35">
      <c r="A151">
        <v>151</v>
      </c>
      <c r="B151" s="50">
        <v>0</v>
      </c>
      <c r="C151" s="50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15</v>
      </c>
      <c r="J151">
        <v>0</v>
      </c>
      <c r="L151" t="s">
        <v>60</v>
      </c>
      <c r="N151">
        <v>0</v>
      </c>
      <c r="O151">
        <v>0</v>
      </c>
      <c r="P151">
        <v>0</v>
      </c>
    </row>
    <row r="152" spans="1:16" hidden="1" x14ac:dyDescent="0.35">
      <c r="A152">
        <v>152</v>
      </c>
      <c r="B152" s="50">
        <v>0</v>
      </c>
      <c r="C152" s="50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</v>
      </c>
      <c r="J152">
        <v>0</v>
      </c>
      <c r="L152" t="s">
        <v>60</v>
      </c>
      <c r="N152">
        <v>0</v>
      </c>
      <c r="O152">
        <v>0</v>
      </c>
      <c r="P152">
        <v>0</v>
      </c>
    </row>
    <row r="153" spans="1:16" hidden="1" x14ac:dyDescent="0.35">
      <c r="A153">
        <v>153</v>
      </c>
      <c r="B153" s="50">
        <v>0</v>
      </c>
      <c r="C153" s="50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</v>
      </c>
      <c r="J153">
        <v>0</v>
      </c>
      <c r="L153" t="s">
        <v>60</v>
      </c>
      <c r="N153">
        <v>0</v>
      </c>
      <c r="O153">
        <v>0</v>
      </c>
      <c r="P153">
        <v>0</v>
      </c>
    </row>
    <row r="154" spans="1:16" hidden="1" x14ac:dyDescent="0.35">
      <c r="A154">
        <v>154</v>
      </c>
      <c r="B154" s="50">
        <v>0</v>
      </c>
      <c r="C154" s="50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18</v>
      </c>
      <c r="J154">
        <v>0</v>
      </c>
      <c r="L154" t="s">
        <v>60</v>
      </c>
      <c r="N154">
        <v>0</v>
      </c>
      <c r="O154">
        <v>0</v>
      </c>
      <c r="P154">
        <v>0</v>
      </c>
    </row>
    <row r="155" spans="1:16" hidden="1" x14ac:dyDescent="0.35">
      <c r="A155">
        <v>155</v>
      </c>
      <c r="B155" s="50">
        <v>0</v>
      </c>
      <c r="C155" s="50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19</v>
      </c>
      <c r="J155">
        <v>0</v>
      </c>
      <c r="L155" t="s">
        <v>60</v>
      </c>
      <c r="N155">
        <v>0</v>
      </c>
      <c r="O155">
        <v>0</v>
      </c>
      <c r="P155">
        <v>0</v>
      </c>
    </row>
    <row r="156" spans="1:16" hidden="1" x14ac:dyDescent="0.35">
      <c r="A156">
        <v>156</v>
      </c>
      <c r="B156" s="50">
        <v>0</v>
      </c>
      <c r="C156" s="50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20</v>
      </c>
      <c r="J156">
        <v>0</v>
      </c>
      <c r="L156" t="s">
        <v>60</v>
      </c>
      <c r="N156">
        <v>0</v>
      </c>
      <c r="O156">
        <v>0</v>
      </c>
      <c r="P156">
        <v>0</v>
      </c>
    </row>
    <row r="157" spans="1:16" hidden="1" x14ac:dyDescent="0.35">
      <c r="A157">
        <v>157</v>
      </c>
      <c r="B157" s="50">
        <v>0</v>
      </c>
      <c r="C157" s="50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</v>
      </c>
      <c r="J157">
        <v>0</v>
      </c>
      <c r="L157" t="s">
        <v>60</v>
      </c>
      <c r="N157">
        <v>0</v>
      </c>
      <c r="O157">
        <v>0</v>
      </c>
      <c r="P157">
        <v>0</v>
      </c>
    </row>
    <row r="158" spans="1:16" hidden="1" x14ac:dyDescent="0.35">
      <c r="A158">
        <v>158</v>
      </c>
      <c r="B158" s="50">
        <v>0</v>
      </c>
      <c r="C158" s="50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22</v>
      </c>
      <c r="J158">
        <v>0</v>
      </c>
      <c r="L158" t="s">
        <v>60</v>
      </c>
      <c r="N158">
        <v>0</v>
      </c>
      <c r="O158">
        <v>0</v>
      </c>
      <c r="P158">
        <v>0</v>
      </c>
    </row>
    <row r="159" spans="1:16" hidden="1" x14ac:dyDescent="0.35">
      <c r="A159">
        <v>159</v>
      </c>
      <c r="B159" s="50">
        <v>0</v>
      </c>
      <c r="C159" s="50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23</v>
      </c>
      <c r="J159">
        <v>0</v>
      </c>
      <c r="L159" t="s">
        <v>60</v>
      </c>
      <c r="N159">
        <v>0</v>
      </c>
      <c r="O159">
        <v>0</v>
      </c>
      <c r="P159">
        <v>0</v>
      </c>
    </row>
    <row r="160" spans="1:16" hidden="1" x14ac:dyDescent="0.35">
      <c r="A160">
        <v>160</v>
      </c>
      <c r="B160" s="50">
        <v>0</v>
      </c>
      <c r="C160" s="5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24</v>
      </c>
      <c r="J160">
        <v>0</v>
      </c>
      <c r="L160" t="s">
        <v>60</v>
      </c>
      <c r="N160">
        <v>0</v>
      </c>
      <c r="O160">
        <v>0</v>
      </c>
      <c r="P160">
        <v>0</v>
      </c>
    </row>
    <row r="161" spans="1:16" hidden="1" x14ac:dyDescent="0.35">
      <c r="A161">
        <v>161</v>
      </c>
      <c r="B161" s="50">
        <v>0</v>
      </c>
      <c r="C161" s="50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0</v>
      </c>
      <c r="L161" t="s">
        <v>60</v>
      </c>
      <c r="N161">
        <v>0</v>
      </c>
      <c r="O161">
        <v>0</v>
      </c>
      <c r="P161">
        <v>0</v>
      </c>
    </row>
    <row r="162" spans="1:16" hidden="1" x14ac:dyDescent="0.35">
      <c r="A162">
        <v>162</v>
      </c>
      <c r="B162" s="50">
        <v>0</v>
      </c>
      <c r="C162" s="50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26</v>
      </c>
      <c r="J162">
        <v>0</v>
      </c>
      <c r="L162" t="s">
        <v>60</v>
      </c>
      <c r="N162">
        <v>0</v>
      </c>
      <c r="O162">
        <v>0</v>
      </c>
      <c r="P162">
        <v>0</v>
      </c>
    </row>
    <row r="163" spans="1:16" hidden="1" x14ac:dyDescent="0.35">
      <c r="A163">
        <v>163</v>
      </c>
      <c r="B163" s="50">
        <v>0</v>
      </c>
      <c r="C163" s="50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27</v>
      </c>
      <c r="J163">
        <v>0</v>
      </c>
      <c r="L163" t="s">
        <v>60</v>
      </c>
      <c r="N163">
        <v>0</v>
      </c>
      <c r="O163">
        <v>0</v>
      </c>
      <c r="P163">
        <v>0</v>
      </c>
    </row>
    <row r="164" spans="1:16" hidden="1" x14ac:dyDescent="0.35">
      <c r="A164">
        <v>164</v>
      </c>
      <c r="B164" s="50">
        <v>0</v>
      </c>
      <c r="C164" s="50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28</v>
      </c>
      <c r="J164">
        <v>0</v>
      </c>
      <c r="L164" t="s">
        <v>60</v>
      </c>
      <c r="N164">
        <v>0</v>
      </c>
      <c r="O164">
        <v>0</v>
      </c>
      <c r="P164">
        <v>0</v>
      </c>
    </row>
    <row r="165" spans="1:16" hidden="1" x14ac:dyDescent="0.35">
      <c r="A165">
        <v>165</v>
      </c>
      <c r="B165" s="50">
        <v>0</v>
      </c>
      <c r="C165" s="50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29</v>
      </c>
      <c r="J165">
        <v>0</v>
      </c>
      <c r="L165" t="s">
        <v>60</v>
      </c>
      <c r="N165">
        <v>0</v>
      </c>
      <c r="O165">
        <v>0</v>
      </c>
      <c r="P165">
        <v>0</v>
      </c>
    </row>
    <row r="166" spans="1:16" hidden="1" x14ac:dyDescent="0.35">
      <c r="A166">
        <v>166</v>
      </c>
      <c r="B166" s="50">
        <v>0</v>
      </c>
      <c r="C166" s="50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30</v>
      </c>
      <c r="J166">
        <v>0</v>
      </c>
      <c r="L166" t="s">
        <v>60</v>
      </c>
      <c r="N166">
        <v>0</v>
      </c>
      <c r="O166">
        <v>0</v>
      </c>
      <c r="P166">
        <v>0</v>
      </c>
    </row>
    <row r="167" spans="1:16" hidden="1" x14ac:dyDescent="0.35">
      <c r="A167">
        <v>167</v>
      </c>
      <c r="B167" s="50">
        <v>0</v>
      </c>
      <c r="C167" s="50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31</v>
      </c>
      <c r="J167">
        <v>0</v>
      </c>
      <c r="L167" t="s">
        <v>60</v>
      </c>
      <c r="N167">
        <v>0</v>
      </c>
      <c r="O167">
        <v>0</v>
      </c>
      <c r="P167">
        <v>0</v>
      </c>
    </row>
    <row r="168" spans="1:16" hidden="1" x14ac:dyDescent="0.35">
      <c r="A168">
        <v>168</v>
      </c>
      <c r="B168" s="50">
        <v>0</v>
      </c>
      <c r="C168" s="50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</v>
      </c>
      <c r="J168">
        <v>0</v>
      </c>
      <c r="L168" t="s">
        <v>60</v>
      </c>
      <c r="N168">
        <v>0</v>
      </c>
      <c r="O168">
        <v>0</v>
      </c>
      <c r="P168">
        <v>0</v>
      </c>
    </row>
    <row r="169" spans="1:16" hidden="1" x14ac:dyDescent="0.35">
      <c r="A169">
        <v>169</v>
      </c>
      <c r="B169" s="50">
        <v>0</v>
      </c>
      <c r="C169" s="50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33</v>
      </c>
      <c r="J169">
        <v>0</v>
      </c>
      <c r="L169" t="s">
        <v>60</v>
      </c>
      <c r="N169">
        <v>0</v>
      </c>
      <c r="O169">
        <v>0</v>
      </c>
      <c r="P169">
        <v>0</v>
      </c>
    </row>
    <row r="170" spans="1:16" hidden="1" x14ac:dyDescent="0.35">
      <c r="A170">
        <v>170</v>
      </c>
      <c r="B170" s="50">
        <v>0</v>
      </c>
      <c r="C170" s="5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34</v>
      </c>
      <c r="J170">
        <v>0</v>
      </c>
      <c r="L170" t="s">
        <v>60</v>
      </c>
      <c r="N170">
        <v>0</v>
      </c>
      <c r="O170">
        <v>0</v>
      </c>
      <c r="P170">
        <v>0</v>
      </c>
    </row>
    <row r="171" spans="1:16" hidden="1" x14ac:dyDescent="0.35">
      <c r="A171">
        <v>171</v>
      </c>
      <c r="B171" s="50">
        <v>0</v>
      </c>
      <c r="C171" s="50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35</v>
      </c>
      <c r="J171">
        <v>0</v>
      </c>
      <c r="L171" t="s">
        <v>60</v>
      </c>
      <c r="N171">
        <v>0</v>
      </c>
      <c r="O171">
        <v>0</v>
      </c>
      <c r="P171">
        <v>0</v>
      </c>
    </row>
    <row r="172" spans="1:16" hidden="1" x14ac:dyDescent="0.35">
      <c r="A172">
        <v>172</v>
      </c>
      <c r="B172" s="50">
        <v>0</v>
      </c>
      <c r="C172" s="50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36</v>
      </c>
      <c r="J172">
        <v>0</v>
      </c>
      <c r="L172" t="s">
        <v>60</v>
      </c>
      <c r="N172">
        <v>0</v>
      </c>
      <c r="O172">
        <v>0</v>
      </c>
      <c r="P172">
        <v>0</v>
      </c>
    </row>
    <row r="173" spans="1:16" hidden="1" x14ac:dyDescent="0.35">
      <c r="A173">
        <v>173</v>
      </c>
      <c r="B173" s="50">
        <v>0</v>
      </c>
      <c r="C173" s="50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37</v>
      </c>
      <c r="J173">
        <v>0</v>
      </c>
      <c r="L173" t="s">
        <v>60</v>
      </c>
      <c r="N173">
        <v>0</v>
      </c>
      <c r="O173">
        <v>0</v>
      </c>
      <c r="P173">
        <v>0</v>
      </c>
    </row>
    <row r="174" spans="1:16" hidden="1" x14ac:dyDescent="0.35">
      <c r="A174">
        <v>174</v>
      </c>
      <c r="B174" s="50">
        <v>0</v>
      </c>
      <c r="C174" s="50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38</v>
      </c>
      <c r="J174">
        <v>0</v>
      </c>
      <c r="L174" t="s">
        <v>60</v>
      </c>
      <c r="N174">
        <v>0</v>
      </c>
      <c r="O174">
        <v>0</v>
      </c>
      <c r="P174">
        <v>0</v>
      </c>
    </row>
    <row r="175" spans="1:16" hidden="1" x14ac:dyDescent="0.35">
      <c r="A175">
        <v>175</v>
      </c>
      <c r="B175" s="50">
        <v>0</v>
      </c>
      <c r="C175" s="50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39</v>
      </c>
      <c r="J175">
        <v>0</v>
      </c>
      <c r="L175" t="s">
        <v>60</v>
      </c>
      <c r="N175">
        <v>0</v>
      </c>
      <c r="O175">
        <v>0</v>
      </c>
      <c r="P175">
        <v>0</v>
      </c>
    </row>
    <row r="176" spans="1:16" hidden="1" x14ac:dyDescent="0.35">
      <c r="A176">
        <v>176</v>
      </c>
      <c r="B176" s="50">
        <v>0</v>
      </c>
      <c r="C176" s="50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40</v>
      </c>
      <c r="J176">
        <v>0</v>
      </c>
      <c r="L176" t="s">
        <v>60</v>
      </c>
      <c r="N176">
        <v>0</v>
      </c>
      <c r="O176">
        <v>0</v>
      </c>
      <c r="P176">
        <v>0</v>
      </c>
    </row>
    <row r="177" spans="1:16" hidden="1" x14ac:dyDescent="0.35">
      <c r="A177">
        <v>177</v>
      </c>
      <c r="B177" s="50">
        <v>0</v>
      </c>
      <c r="C177" s="50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41</v>
      </c>
      <c r="J177">
        <v>0</v>
      </c>
      <c r="L177" t="s">
        <v>60</v>
      </c>
      <c r="N177">
        <v>0</v>
      </c>
      <c r="O177">
        <v>0</v>
      </c>
      <c r="P177">
        <v>0</v>
      </c>
    </row>
    <row r="178" spans="1:16" hidden="1" x14ac:dyDescent="0.35">
      <c r="A178">
        <v>178</v>
      </c>
      <c r="B178" s="50">
        <v>0</v>
      </c>
      <c r="C178" s="50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42</v>
      </c>
      <c r="J178">
        <v>0</v>
      </c>
      <c r="L178" t="s">
        <v>60</v>
      </c>
      <c r="N178">
        <v>0</v>
      </c>
      <c r="O178">
        <v>0</v>
      </c>
      <c r="P178">
        <v>0</v>
      </c>
    </row>
    <row r="179" spans="1:16" hidden="1" x14ac:dyDescent="0.35">
      <c r="A179">
        <v>179</v>
      </c>
      <c r="B179" s="50">
        <v>0</v>
      </c>
      <c r="C179" s="50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43</v>
      </c>
      <c r="J179">
        <v>0</v>
      </c>
      <c r="L179" t="s">
        <v>60</v>
      </c>
      <c r="N179">
        <v>0</v>
      </c>
      <c r="O179">
        <v>0</v>
      </c>
      <c r="P179">
        <v>0</v>
      </c>
    </row>
    <row r="180" spans="1:16" hidden="1" x14ac:dyDescent="0.35">
      <c r="A180">
        <v>180</v>
      </c>
      <c r="B180" s="50">
        <v>0</v>
      </c>
      <c r="C180" s="5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44</v>
      </c>
      <c r="J180">
        <v>0</v>
      </c>
      <c r="L180" t="s">
        <v>60</v>
      </c>
      <c r="N180">
        <v>0</v>
      </c>
      <c r="O180">
        <v>0</v>
      </c>
      <c r="P180">
        <v>0</v>
      </c>
    </row>
    <row r="181" spans="1:16" hidden="1" x14ac:dyDescent="0.35">
      <c r="A181">
        <v>181</v>
      </c>
      <c r="B181" s="50">
        <v>0</v>
      </c>
      <c r="C181" s="50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45</v>
      </c>
      <c r="J181">
        <v>0</v>
      </c>
      <c r="L181" t="s">
        <v>60</v>
      </c>
      <c r="N181">
        <v>0</v>
      </c>
      <c r="O181">
        <v>0</v>
      </c>
      <c r="P181">
        <v>0</v>
      </c>
    </row>
    <row r="182" spans="1:16" hidden="1" x14ac:dyDescent="0.35">
      <c r="A182">
        <v>182</v>
      </c>
      <c r="B182" s="50">
        <v>0</v>
      </c>
      <c r="C182" s="50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46</v>
      </c>
      <c r="J182">
        <v>0</v>
      </c>
      <c r="L182" t="s">
        <v>60</v>
      </c>
      <c r="N182">
        <v>0</v>
      </c>
      <c r="O182">
        <v>0</v>
      </c>
      <c r="P182">
        <v>0</v>
      </c>
    </row>
    <row r="183" spans="1:16" hidden="1" x14ac:dyDescent="0.35">
      <c r="A183">
        <v>183</v>
      </c>
      <c r="B183" s="50">
        <v>0</v>
      </c>
      <c r="C183" s="50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47</v>
      </c>
      <c r="J183">
        <v>0</v>
      </c>
      <c r="L183" t="s">
        <v>60</v>
      </c>
      <c r="N183">
        <v>0</v>
      </c>
      <c r="O183">
        <v>0</v>
      </c>
      <c r="P183">
        <v>0</v>
      </c>
    </row>
    <row r="184" spans="1:16" hidden="1" x14ac:dyDescent="0.35">
      <c r="A184">
        <v>184</v>
      </c>
      <c r="B184" s="50">
        <v>0</v>
      </c>
      <c r="C184" s="50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48</v>
      </c>
      <c r="J184">
        <v>0</v>
      </c>
      <c r="L184" t="s">
        <v>60</v>
      </c>
      <c r="N184">
        <v>0</v>
      </c>
      <c r="O184">
        <v>0</v>
      </c>
      <c r="P184">
        <v>0</v>
      </c>
    </row>
    <row r="185" spans="1:16" hidden="1" x14ac:dyDescent="0.35">
      <c r="A185">
        <v>185</v>
      </c>
      <c r="B185" s="50">
        <v>0</v>
      </c>
      <c r="C185" s="50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49</v>
      </c>
      <c r="J185">
        <v>0</v>
      </c>
      <c r="L185" t="s">
        <v>60</v>
      </c>
      <c r="N185">
        <v>0</v>
      </c>
      <c r="O185">
        <v>0</v>
      </c>
      <c r="P185">
        <v>0</v>
      </c>
    </row>
    <row r="186" spans="1:16" hidden="1" x14ac:dyDescent="0.35">
      <c r="A186">
        <v>186</v>
      </c>
      <c r="B186" s="50">
        <v>0</v>
      </c>
      <c r="C186" s="50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50</v>
      </c>
      <c r="J186">
        <v>0</v>
      </c>
      <c r="L186" t="s">
        <v>60</v>
      </c>
      <c r="N186">
        <v>0</v>
      </c>
      <c r="O186">
        <v>0</v>
      </c>
      <c r="P186">
        <v>0</v>
      </c>
    </row>
    <row r="187" spans="1:16" hidden="1" x14ac:dyDescent="0.35">
      <c r="A187">
        <v>187</v>
      </c>
      <c r="B187" s="50">
        <v>0</v>
      </c>
      <c r="C187" s="50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51</v>
      </c>
      <c r="J187">
        <v>0</v>
      </c>
      <c r="L187" t="s">
        <v>60</v>
      </c>
      <c r="N187">
        <v>0</v>
      </c>
      <c r="O187">
        <v>0</v>
      </c>
      <c r="P187">
        <v>0</v>
      </c>
    </row>
    <row r="188" spans="1:16" hidden="1" x14ac:dyDescent="0.35">
      <c r="A188">
        <v>188</v>
      </c>
      <c r="B188" s="50">
        <v>0</v>
      </c>
      <c r="C188" s="50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52</v>
      </c>
      <c r="J188">
        <v>0</v>
      </c>
      <c r="L188" t="s">
        <v>60</v>
      </c>
      <c r="N188">
        <v>0</v>
      </c>
      <c r="O188">
        <v>0</v>
      </c>
      <c r="P188">
        <v>0</v>
      </c>
    </row>
    <row r="189" spans="1:16" hidden="1" x14ac:dyDescent="0.35">
      <c r="A189">
        <v>189</v>
      </c>
      <c r="B189" s="50">
        <v>0</v>
      </c>
      <c r="C189" s="50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53</v>
      </c>
      <c r="J189">
        <v>0</v>
      </c>
      <c r="L189" t="s">
        <v>60</v>
      </c>
      <c r="N189">
        <v>0</v>
      </c>
      <c r="O189">
        <v>0</v>
      </c>
      <c r="P189">
        <v>0</v>
      </c>
    </row>
    <row r="190" spans="1:16" hidden="1" x14ac:dyDescent="0.35">
      <c r="A190">
        <v>190</v>
      </c>
      <c r="B190" s="50">
        <v>0</v>
      </c>
      <c r="C190" s="5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54</v>
      </c>
      <c r="J190">
        <v>0</v>
      </c>
      <c r="L190" t="s">
        <v>60</v>
      </c>
      <c r="N190">
        <v>0</v>
      </c>
      <c r="O190">
        <v>0</v>
      </c>
      <c r="P190">
        <v>0</v>
      </c>
    </row>
    <row r="191" spans="1:16" hidden="1" x14ac:dyDescent="0.35">
      <c r="A191">
        <v>191</v>
      </c>
      <c r="B191" s="50">
        <v>0</v>
      </c>
      <c r="C191" s="50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55</v>
      </c>
      <c r="J191">
        <v>0</v>
      </c>
      <c r="L191" t="s">
        <v>60</v>
      </c>
      <c r="N191">
        <v>0</v>
      </c>
      <c r="O191">
        <v>0</v>
      </c>
      <c r="P191">
        <v>0</v>
      </c>
    </row>
    <row r="192" spans="1:16" hidden="1" x14ac:dyDescent="0.35">
      <c r="A192">
        <v>192</v>
      </c>
      <c r="B192" s="50">
        <v>0</v>
      </c>
      <c r="C192" s="50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56</v>
      </c>
      <c r="J192">
        <v>0</v>
      </c>
      <c r="L192" t="s">
        <v>60</v>
      </c>
      <c r="N192">
        <v>0</v>
      </c>
      <c r="O192">
        <v>0</v>
      </c>
      <c r="P192">
        <v>0</v>
      </c>
    </row>
    <row r="193" spans="1:16" hidden="1" x14ac:dyDescent="0.35">
      <c r="A193">
        <v>193</v>
      </c>
      <c r="B193" s="50">
        <v>0</v>
      </c>
      <c r="C193" s="50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57</v>
      </c>
      <c r="J193">
        <v>0</v>
      </c>
      <c r="L193" t="s">
        <v>60</v>
      </c>
      <c r="N193">
        <v>0</v>
      </c>
      <c r="O193">
        <v>0</v>
      </c>
      <c r="P193">
        <v>0</v>
      </c>
    </row>
    <row r="194" spans="1:16" hidden="1" x14ac:dyDescent="0.35">
      <c r="A194">
        <v>194</v>
      </c>
      <c r="B194" s="50">
        <v>0</v>
      </c>
      <c r="C194" s="50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58</v>
      </c>
      <c r="J194">
        <v>0</v>
      </c>
      <c r="L194" t="s">
        <v>60</v>
      </c>
      <c r="N194">
        <v>0</v>
      </c>
      <c r="O194">
        <v>0</v>
      </c>
      <c r="P194">
        <v>0</v>
      </c>
    </row>
    <row r="195" spans="1:16" hidden="1" x14ac:dyDescent="0.35">
      <c r="A195">
        <v>195</v>
      </c>
      <c r="B195" s="50">
        <v>0</v>
      </c>
      <c r="C195" s="50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59</v>
      </c>
      <c r="J195">
        <v>0</v>
      </c>
      <c r="L195" t="s">
        <v>60</v>
      </c>
      <c r="N195">
        <v>0</v>
      </c>
      <c r="O195">
        <v>0</v>
      </c>
      <c r="P195">
        <v>0</v>
      </c>
    </row>
    <row r="196" spans="1:16" hidden="1" x14ac:dyDescent="0.35">
      <c r="A196">
        <v>196</v>
      </c>
      <c r="B196" s="50">
        <v>0</v>
      </c>
      <c r="C196" s="50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60</v>
      </c>
      <c r="J196">
        <v>0</v>
      </c>
      <c r="L196" t="s">
        <v>60</v>
      </c>
      <c r="N196">
        <v>0</v>
      </c>
      <c r="O196">
        <v>0</v>
      </c>
      <c r="P196">
        <v>0</v>
      </c>
    </row>
    <row r="197" spans="1:16" hidden="1" x14ac:dyDescent="0.35">
      <c r="A197">
        <v>197</v>
      </c>
      <c r="B197" s="50">
        <v>0</v>
      </c>
      <c r="C197" s="50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61</v>
      </c>
      <c r="J197">
        <v>0</v>
      </c>
      <c r="L197" t="s">
        <v>60</v>
      </c>
      <c r="N197">
        <v>0</v>
      </c>
      <c r="O197">
        <v>0</v>
      </c>
      <c r="P197">
        <v>0</v>
      </c>
    </row>
    <row r="198" spans="1:16" hidden="1" x14ac:dyDescent="0.35">
      <c r="A198">
        <v>198</v>
      </c>
      <c r="B198" s="50">
        <v>0</v>
      </c>
      <c r="C198" s="50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62</v>
      </c>
      <c r="J198">
        <v>0</v>
      </c>
      <c r="L198" t="s">
        <v>60</v>
      </c>
      <c r="N198">
        <v>0</v>
      </c>
      <c r="O198">
        <v>0</v>
      </c>
      <c r="P198">
        <v>0</v>
      </c>
    </row>
    <row r="199" spans="1:16" hidden="1" x14ac:dyDescent="0.35">
      <c r="A199">
        <v>199</v>
      </c>
      <c r="B199" s="50">
        <v>0</v>
      </c>
      <c r="C199" s="50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63</v>
      </c>
      <c r="J199">
        <v>0</v>
      </c>
      <c r="L199" t="s">
        <v>60</v>
      </c>
      <c r="N199">
        <v>0</v>
      </c>
      <c r="O199">
        <v>0</v>
      </c>
      <c r="P199">
        <v>0</v>
      </c>
    </row>
    <row r="200" spans="1:16" hidden="1" x14ac:dyDescent="0.35">
      <c r="A200">
        <v>200</v>
      </c>
      <c r="B200" s="50">
        <v>0</v>
      </c>
      <c r="C200" s="5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64</v>
      </c>
      <c r="J200">
        <v>0</v>
      </c>
      <c r="L200" t="s">
        <v>60</v>
      </c>
      <c r="N200">
        <v>0</v>
      </c>
      <c r="O200">
        <v>0</v>
      </c>
      <c r="P200">
        <v>0</v>
      </c>
    </row>
    <row r="201" spans="1:16" hidden="1" x14ac:dyDescent="0.35">
      <c r="A201">
        <v>201</v>
      </c>
      <c r="B201" s="50">
        <v>0</v>
      </c>
      <c r="C201" s="50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65</v>
      </c>
      <c r="J201">
        <v>0</v>
      </c>
      <c r="L201" t="s">
        <v>60</v>
      </c>
      <c r="N201">
        <v>0</v>
      </c>
      <c r="O201">
        <v>0</v>
      </c>
      <c r="P201">
        <v>0</v>
      </c>
    </row>
    <row r="202" spans="1:16" hidden="1" x14ac:dyDescent="0.35">
      <c r="A202">
        <v>202</v>
      </c>
      <c r="B202" s="50">
        <v>0</v>
      </c>
      <c r="C202" s="50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66</v>
      </c>
      <c r="J202">
        <v>0</v>
      </c>
      <c r="L202" t="s">
        <v>60</v>
      </c>
      <c r="N202">
        <v>0</v>
      </c>
      <c r="O202">
        <v>0</v>
      </c>
      <c r="P202">
        <v>0</v>
      </c>
    </row>
    <row r="203" spans="1:16" hidden="1" x14ac:dyDescent="0.35">
      <c r="A203">
        <v>203</v>
      </c>
      <c r="B203" s="50">
        <v>0</v>
      </c>
      <c r="C203" s="50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67</v>
      </c>
      <c r="J203">
        <v>0</v>
      </c>
      <c r="L203" t="s">
        <v>60</v>
      </c>
      <c r="N203">
        <v>0</v>
      </c>
      <c r="O203">
        <v>0</v>
      </c>
      <c r="P203">
        <v>0</v>
      </c>
    </row>
    <row r="204" spans="1:16" hidden="1" x14ac:dyDescent="0.35">
      <c r="A204">
        <v>204</v>
      </c>
      <c r="B204" s="50">
        <v>0</v>
      </c>
      <c r="C204" s="50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68</v>
      </c>
      <c r="J204">
        <v>0</v>
      </c>
      <c r="L204" t="s">
        <v>60</v>
      </c>
      <c r="N204">
        <v>0</v>
      </c>
      <c r="O204">
        <v>0</v>
      </c>
      <c r="P204">
        <v>0</v>
      </c>
    </row>
    <row r="205" spans="1:16" hidden="1" x14ac:dyDescent="0.35">
      <c r="A205">
        <v>205</v>
      </c>
      <c r="B205" s="50">
        <v>0</v>
      </c>
      <c r="C205" s="50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69</v>
      </c>
      <c r="J205">
        <v>0</v>
      </c>
      <c r="L205" t="s">
        <v>60</v>
      </c>
      <c r="N205">
        <v>0</v>
      </c>
      <c r="O205">
        <v>0</v>
      </c>
      <c r="P205">
        <v>0</v>
      </c>
    </row>
    <row r="206" spans="1:16" hidden="1" x14ac:dyDescent="0.35">
      <c r="A206">
        <v>206</v>
      </c>
      <c r="B206" s="50">
        <v>0</v>
      </c>
      <c r="C206" s="50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70</v>
      </c>
      <c r="J206">
        <v>0</v>
      </c>
      <c r="L206" t="s">
        <v>60</v>
      </c>
      <c r="N206">
        <v>0</v>
      </c>
      <c r="O206">
        <v>0</v>
      </c>
      <c r="P206">
        <v>0</v>
      </c>
    </row>
    <row r="207" spans="1:16" hidden="1" x14ac:dyDescent="0.35">
      <c r="A207">
        <v>207</v>
      </c>
      <c r="B207" s="50">
        <v>0</v>
      </c>
      <c r="C207" s="50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71</v>
      </c>
      <c r="J207">
        <v>0</v>
      </c>
      <c r="L207" t="s">
        <v>60</v>
      </c>
      <c r="N207">
        <v>0</v>
      </c>
      <c r="O207">
        <v>0</v>
      </c>
      <c r="P207">
        <v>0</v>
      </c>
    </row>
    <row r="208" spans="1:16" hidden="1" x14ac:dyDescent="0.35">
      <c r="A208">
        <v>208</v>
      </c>
      <c r="B208" s="50">
        <v>0</v>
      </c>
      <c r="C208" s="50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72</v>
      </c>
      <c r="J208">
        <v>0</v>
      </c>
      <c r="L208" t="s">
        <v>60</v>
      </c>
      <c r="N208">
        <v>0</v>
      </c>
      <c r="O208">
        <v>0</v>
      </c>
      <c r="P208">
        <v>0</v>
      </c>
    </row>
    <row r="209" spans="1:16" hidden="1" x14ac:dyDescent="0.35">
      <c r="A209">
        <v>209</v>
      </c>
      <c r="B209" s="50">
        <v>0</v>
      </c>
      <c r="C209" s="50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73</v>
      </c>
      <c r="J209">
        <v>0</v>
      </c>
      <c r="L209" t="s">
        <v>60</v>
      </c>
      <c r="N209">
        <v>0</v>
      </c>
      <c r="O209">
        <v>0</v>
      </c>
      <c r="P209">
        <v>0</v>
      </c>
    </row>
    <row r="210" spans="1:16" hidden="1" x14ac:dyDescent="0.35">
      <c r="A210">
        <v>210</v>
      </c>
      <c r="B210" s="50">
        <v>0</v>
      </c>
      <c r="C210" s="5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74</v>
      </c>
      <c r="J210">
        <v>0</v>
      </c>
      <c r="L210" t="s">
        <v>60</v>
      </c>
      <c r="N210">
        <v>0</v>
      </c>
      <c r="O210">
        <v>0</v>
      </c>
      <c r="P210">
        <v>0</v>
      </c>
    </row>
    <row r="211" spans="1:16" hidden="1" x14ac:dyDescent="0.35">
      <c r="A211">
        <v>211</v>
      </c>
      <c r="B211" s="50">
        <v>0</v>
      </c>
      <c r="C211" s="50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0</v>
      </c>
      <c r="L211" t="s">
        <v>60</v>
      </c>
      <c r="N211">
        <v>0</v>
      </c>
      <c r="O211">
        <v>0</v>
      </c>
      <c r="P211">
        <v>0</v>
      </c>
    </row>
    <row r="212" spans="1:16" hidden="1" x14ac:dyDescent="0.35">
      <c r="A212">
        <v>212</v>
      </c>
      <c r="B212" s="50">
        <v>0</v>
      </c>
      <c r="C212" s="50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76</v>
      </c>
      <c r="J212">
        <v>0</v>
      </c>
      <c r="L212" t="s">
        <v>60</v>
      </c>
      <c r="N212">
        <v>0</v>
      </c>
      <c r="O212">
        <v>0</v>
      </c>
      <c r="P212">
        <v>0</v>
      </c>
    </row>
    <row r="213" spans="1:16" hidden="1" x14ac:dyDescent="0.35">
      <c r="A213">
        <v>213</v>
      </c>
      <c r="B213" s="50">
        <v>0</v>
      </c>
      <c r="C213" s="50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77</v>
      </c>
      <c r="J213">
        <v>0</v>
      </c>
      <c r="L213" t="s">
        <v>60</v>
      </c>
      <c r="N213">
        <v>0</v>
      </c>
      <c r="O213">
        <v>0</v>
      </c>
      <c r="P213">
        <v>0</v>
      </c>
    </row>
    <row r="214" spans="1:16" hidden="1" x14ac:dyDescent="0.35">
      <c r="A214">
        <v>214</v>
      </c>
      <c r="B214" s="50">
        <v>0</v>
      </c>
      <c r="C214" s="50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78</v>
      </c>
      <c r="J214">
        <v>0</v>
      </c>
      <c r="L214" t="s">
        <v>60</v>
      </c>
      <c r="N214">
        <v>0</v>
      </c>
      <c r="O214">
        <v>0</v>
      </c>
      <c r="P214">
        <v>0</v>
      </c>
    </row>
    <row r="215" spans="1:16" hidden="1" x14ac:dyDescent="0.35">
      <c r="A215">
        <v>215</v>
      </c>
      <c r="B215" s="50">
        <v>0</v>
      </c>
      <c r="C215" s="50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79</v>
      </c>
      <c r="J215">
        <v>0</v>
      </c>
      <c r="L215" t="s">
        <v>60</v>
      </c>
      <c r="N215">
        <v>0</v>
      </c>
      <c r="O215">
        <v>0</v>
      </c>
      <c r="P215">
        <v>0</v>
      </c>
    </row>
    <row r="216" spans="1:16" hidden="1" x14ac:dyDescent="0.35">
      <c r="A216">
        <v>216</v>
      </c>
      <c r="B216" s="50">
        <v>0</v>
      </c>
      <c r="C216" s="50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80</v>
      </c>
      <c r="J216">
        <v>0</v>
      </c>
      <c r="L216" t="s">
        <v>60</v>
      </c>
      <c r="N216">
        <v>0</v>
      </c>
      <c r="O216">
        <v>0</v>
      </c>
      <c r="P216">
        <v>0</v>
      </c>
    </row>
    <row r="217" spans="1:16" hidden="1" x14ac:dyDescent="0.35">
      <c r="A217">
        <v>217</v>
      </c>
      <c r="B217" s="50">
        <v>0</v>
      </c>
      <c r="C217" s="50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81</v>
      </c>
      <c r="J217">
        <v>0</v>
      </c>
      <c r="L217" t="s">
        <v>60</v>
      </c>
      <c r="N217">
        <v>0</v>
      </c>
      <c r="O217">
        <v>0</v>
      </c>
      <c r="P217">
        <v>0</v>
      </c>
    </row>
    <row r="218" spans="1:16" hidden="1" x14ac:dyDescent="0.35">
      <c r="A218">
        <v>218</v>
      </c>
      <c r="B218" s="50">
        <v>0</v>
      </c>
      <c r="C218" s="50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82</v>
      </c>
      <c r="J218">
        <v>0</v>
      </c>
      <c r="L218" t="s">
        <v>60</v>
      </c>
      <c r="N218">
        <v>0</v>
      </c>
      <c r="O218">
        <v>0</v>
      </c>
      <c r="P218">
        <v>0</v>
      </c>
    </row>
    <row r="219" spans="1:16" hidden="1" x14ac:dyDescent="0.35">
      <c r="A219">
        <v>219</v>
      </c>
      <c r="B219" s="50">
        <v>0</v>
      </c>
      <c r="C219" s="50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83</v>
      </c>
      <c r="J219">
        <v>0</v>
      </c>
      <c r="L219" t="s">
        <v>60</v>
      </c>
      <c r="N219">
        <v>0</v>
      </c>
      <c r="O219">
        <v>0</v>
      </c>
      <c r="P219">
        <v>0</v>
      </c>
    </row>
    <row r="220" spans="1:16" hidden="1" x14ac:dyDescent="0.35">
      <c r="A220">
        <v>220</v>
      </c>
      <c r="B220" s="50">
        <v>0</v>
      </c>
      <c r="C220" s="5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84</v>
      </c>
      <c r="J220">
        <v>0</v>
      </c>
      <c r="L220" t="s">
        <v>60</v>
      </c>
      <c r="N220">
        <v>0</v>
      </c>
      <c r="O220">
        <v>0</v>
      </c>
      <c r="P220">
        <v>0</v>
      </c>
    </row>
    <row r="221" spans="1:16" hidden="1" x14ac:dyDescent="0.35">
      <c r="A221">
        <v>221</v>
      </c>
      <c r="B221" s="50">
        <v>0</v>
      </c>
      <c r="C221" s="50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85</v>
      </c>
      <c r="J221">
        <v>0</v>
      </c>
      <c r="L221" t="s">
        <v>60</v>
      </c>
      <c r="N221">
        <v>0</v>
      </c>
      <c r="O221">
        <v>0</v>
      </c>
      <c r="P221">
        <v>0</v>
      </c>
    </row>
    <row r="222" spans="1:16" hidden="1" x14ac:dyDescent="0.35">
      <c r="A222">
        <v>222</v>
      </c>
      <c r="B222" s="50">
        <v>0</v>
      </c>
      <c r="C222" s="50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86</v>
      </c>
      <c r="J222">
        <v>0</v>
      </c>
      <c r="L222" t="s">
        <v>60</v>
      </c>
      <c r="N222">
        <v>0</v>
      </c>
      <c r="O222">
        <v>0</v>
      </c>
      <c r="P222">
        <v>0</v>
      </c>
    </row>
    <row r="223" spans="1:16" hidden="1" x14ac:dyDescent="0.35">
      <c r="A223">
        <v>223</v>
      </c>
      <c r="B223" s="50">
        <v>0</v>
      </c>
      <c r="C223" s="50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87</v>
      </c>
      <c r="J223">
        <v>0</v>
      </c>
      <c r="L223" t="s">
        <v>60</v>
      </c>
      <c r="N223">
        <v>0</v>
      </c>
      <c r="O223">
        <v>0</v>
      </c>
      <c r="P223">
        <v>0</v>
      </c>
    </row>
    <row r="224" spans="1:16" hidden="1" x14ac:dyDescent="0.35">
      <c r="A224">
        <v>224</v>
      </c>
      <c r="B224" s="50">
        <v>0</v>
      </c>
      <c r="C224" s="50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88</v>
      </c>
      <c r="J224">
        <v>0</v>
      </c>
      <c r="L224" t="s">
        <v>60</v>
      </c>
      <c r="N224">
        <v>0</v>
      </c>
      <c r="O224">
        <v>0</v>
      </c>
      <c r="P224">
        <v>0</v>
      </c>
    </row>
    <row r="225" spans="1:16" hidden="1" x14ac:dyDescent="0.35">
      <c r="A225">
        <v>225</v>
      </c>
      <c r="B225" s="50">
        <v>0</v>
      </c>
      <c r="C225" s="50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89</v>
      </c>
      <c r="J225">
        <v>0</v>
      </c>
      <c r="L225" t="s">
        <v>60</v>
      </c>
      <c r="N225">
        <v>0</v>
      </c>
      <c r="O225">
        <v>0</v>
      </c>
      <c r="P225">
        <v>0</v>
      </c>
    </row>
    <row r="226" spans="1:16" hidden="1" x14ac:dyDescent="0.35">
      <c r="A226">
        <v>226</v>
      </c>
      <c r="B226" s="50">
        <v>0</v>
      </c>
      <c r="C226" s="50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90</v>
      </c>
      <c r="J226">
        <v>0</v>
      </c>
      <c r="L226" t="s">
        <v>60</v>
      </c>
      <c r="N226">
        <v>0</v>
      </c>
      <c r="O226">
        <v>0</v>
      </c>
      <c r="P226">
        <v>0</v>
      </c>
    </row>
    <row r="227" spans="1:16" hidden="1" x14ac:dyDescent="0.35">
      <c r="A227">
        <v>227</v>
      </c>
      <c r="B227" s="50">
        <v>0</v>
      </c>
      <c r="C227" s="50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91</v>
      </c>
      <c r="J227">
        <v>0</v>
      </c>
      <c r="L227" t="s">
        <v>60</v>
      </c>
      <c r="N227">
        <v>0</v>
      </c>
      <c r="O227">
        <v>0</v>
      </c>
      <c r="P227">
        <v>0</v>
      </c>
    </row>
    <row r="228" spans="1:16" hidden="1" x14ac:dyDescent="0.35">
      <c r="A228">
        <v>228</v>
      </c>
      <c r="B228" s="50">
        <v>0</v>
      </c>
      <c r="C228" s="50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92</v>
      </c>
      <c r="J228">
        <v>0</v>
      </c>
      <c r="L228" t="s">
        <v>60</v>
      </c>
      <c r="N228">
        <v>0</v>
      </c>
      <c r="O228">
        <v>0</v>
      </c>
      <c r="P228">
        <v>0</v>
      </c>
    </row>
    <row r="229" spans="1:16" hidden="1" x14ac:dyDescent="0.35">
      <c r="A229">
        <v>229</v>
      </c>
      <c r="B229" s="50">
        <v>0</v>
      </c>
      <c r="C229" s="50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93</v>
      </c>
      <c r="J229">
        <v>0</v>
      </c>
      <c r="L229" t="s">
        <v>60</v>
      </c>
      <c r="N229">
        <v>0</v>
      </c>
      <c r="O229">
        <v>0</v>
      </c>
      <c r="P229">
        <v>0</v>
      </c>
    </row>
    <row r="230" spans="1:16" hidden="1" x14ac:dyDescent="0.35">
      <c r="A230">
        <v>230</v>
      </c>
      <c r="B230" s="50">
        <v>0</v>
      </c>
      <c r="C230" s="5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94</v>
      </c>
      <c r="J230">
        <v>0</v>
      </c>
      <c r="L230" t="s">
        <v>60</v>
      </c>
      <c r="N230">
        <v>0</v>
      </c>
      <c r="O230">
        <v>0</v>
      </c>
      <c r="P230">
        <v>0</v>
      </c>
    </row>
    <row r="231" spans="1:16" hidden="1" x14ac:dyDescent="0.35">
      <c r="A231">
        <v>231</v>
      </c>
      <c r="B231" s="50">
        <v>0</v>
      </c>
      <c r="C231" s="50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95</v>
      </c>
      <c r="J231">
        <v>0</v>
      </c>
      <c r="L231" t="s">
        <v>60</v>
      </c>
      <c r="N231">
        <v>0</v>
      </c>
      <c r="O231">
        <v>0</v>
      </c>
      <c r="P231">
        <v>0</v>
      </c>
    </row>
    <row r="232" spans="1:16" hidden="1" x14ac:dyDescent="0.35">
      <c r="A232">
        <v>232</v>
      </c>
      <c r="B232" s="50">
        <v>0</v>
      </c>
      <c r="C232" s="50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96</v>
      </c>
      <c r="J232">
        <v>0</v>
      </c>
      <c r="L232" t="s">
        <v>60</v>
      </c>
      <c r="N232">
        <v>0</v>
      </c>
      <c r="O232">
        <v>0</v>
      </c>
      <c r="P232">
        <v>0</v>
      </c>
    </row>
    <row r="233" spans="1:16" hidden="1" x14ac:dyDescent="0.35">
      <c r="A233">
        <v>233</v>
      </c>
      <c r="B233" s="50">
        <v>0</v>
      </c>
      <c r="C233" s="50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97</v>
      </c>
      <c r="J233">
        <v>0</v>
      </c>
      <c r="L233" t="s">
        <v>60</v>
      </c>
      <c r="N233">
        <v>0</v>
      </c>
      <c r="O233">
        <v>0</v>
      </c>
      <c r="P233">
        <v>0</v>
      </c>
    </row>
    <row r="234" spans="1:16" hidden="1" x14ac:dyDescent="0.35">
      <c r="A234">
        <v>234</v>
      </c>
      <c r="B234" s="50">
        <v>0</v>
      </c>
      <c r="C234" s="50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98</v>
      </c>
      <c r="J234">
        <v>0</v>
      </c>
      <c r="L234" t="s">
        <v>60</v>
      </c>
      <c r="N234">
        <v>0</v>
      </c>
      <c r="O234">
        <v>0</v>
      </c>
      <c r="P234">
        <v>0</v>
      </c>
    </row>
    <row r="235" spans="1:16" hidden="1" x14ac:dyDescent="0.35">
      <c r="A235">
        <v>235</v>
      </c>
      <c r="B235" s="50">
        <v>0</v>
      </c>
      <c r="C235" s="50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99</v>
      </c>
      <c r="J235">
        <v>0</v>
      </c>
      <c r="L235" t="s">
        <v>60</v>
      </c>
      <c r="N235">
        <v>0</v>
      </c>
      <c r="O235">
        <v>0</v>
      </c>
      <c r="P235">
        <v>0</v>
      </c>
    </row>
    <row r="236" spans="1:16" hidden="1" x14ac:dyDescent="0.35">
      <c r="A236">
        <v>236</v>
      </c>
      <c r="B236" s="50">
        <v>0</v>
      </c>
      <c r="C236" s="50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100</v>
      </c>
      <c r="J236">
        <v>0</v>
      </c>
      <c r="L236" t="s">
        <v>60</v>
      </c>
      <c r="N236">
        <v>0</v>
      </c>
      <c r="O236">
        <v>0</v>
      </c>
      <c r="P236">
        <v>0</v>
      </c>
    </row>
    <row r="237" spans="1:16" hidden="1" x14ac:dyDescent="0.35">
      <c r="A237">
        <v>237</v>
      </c>
      <c r="B237" s="50">
        <v>0</v>
      </c>
      <c r="C237" s="50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101</v>
      </c>
      <c r="J237">
        <v>0</v>
      </c>
      <c r="L237" t="s">
        <v>60</v>
      </c>
      <c r="N237">
        <v>0</v>
      </c>
      <c r="O237">
        <v>0</v>
      </c>
      <c r="P237">
        <v>0</v>
      </c>
    </row>
    <row r="238" spans="1:16" hidden="1" x14ac:dyDescent="0.35">
      <c r="A238">
        <v>238</v>
      </c>
      <c r="B238" s="50">
        <v>0</v>
      </c>
      <c r="C238" s="50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102</v>
      </c>
      <c r="J238">
        <v>0</v>
      </c>
      <c r="L238" t="s">
        <v>60</v>
      </c>
      <c r="N238">
        <v>0</v>
      </c>
      <c r="O238">
        <v>0</v>
      </c>
      <c r="P238">
        <v>0</v>
      </c>
    </row>
    <row r="239" spans="1:16" hidden="1" x14ac:dyDescent="0.35">
      <c r="A239">
        <v>239</v>
      </c>
      <c r="B239" s="50">
        <v>0</v>
      </c>
      <c r="C239" s="50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103</v>
      </c>
      <c r="J239">
        <v>0</v>
      </c>
      <c r="L239" t="s">
        <v>60</v>
      </c>
      <c r="N239">
        <v>0</v>
      </c>
      <c r="O239">
        <v>0</v>
      </c>
      <c r="P239">
        <v>0</v>
      </c>
    </row>
    <row r="240" spans="1:16" hidden="1" x14ac:dyDescent="0.35">
      <c r="A240">
        <v>240</v>
      </c>
      <c r="B240" s="50">
        <v>0</v>
      </c>
      <c r="C240" s="5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104</v>
      </c>
      <c r="J240">
        <v>0</v>
      </c>
      <c r="L240" t="s">
        <v>60</v>
      </c>
      <c r="N240">
        <v>0</v>
      </c>
      <c r="O240">
        <v>0</v>
      </c>
      <c r="P240">
        <v>0</v>
      </c>
    </row>
    <row r="241" spans="1:16" hidden="1" x14ac:dyDescent="0.35">
      <c r="A241">
        <v>241</v>
      </c>
      <c r="B241" s="50">
        <v>0</v>
      </c>
      <c r="C241" s="50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105</v>
      </c>
      <c r="J241">
        <v>0</v>
      </c>
      <c r="L241" t="s">
        <v>60</v>
      </c>
      <c r="N241">
        <v>0</v>
      </c>
      <c r="O241">
        <v>0</v>
      </c>
      <c r="P241">
        <v>0</v>
      </c>
    </row>
    <row r="242" spans="1:16" hidden="1" x14ac:dyDescent="0.35">
      <c r="A242">
        <v>242</v>
      </c>
      <c r="B242" s="50">
        <v>0</v>
      </c>
      <c r="C242" s="50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106</v>
      </c>
      <c r="J242">
        <v>0</v>
      </c>
      <c r="L242" t="s">
        <v>60</v>
      </c>
      <c r="N242">
        <v>0</v>
      </c>
      <c r="O242">
        <v>0</v>
      </c>
      <c r="P242">
        <v>0</v>
      </c>
    </row>
    <row r="243" spans="1:16" hidden="1" x14ac:dyDescent="0.35">
      <c r="A243">
        <v>243</v>
      </c>
      <c r="B243" s="50">
        <v>0</v>
      </c>
      <c r="C243" s="50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107</v>
      </c>
      <c r="J243">
        <v>0</v>
      </c>
      <c r="L243" t="s">
        <v>60</v>
      </c>
      <c r="N243">
        <v>0</v>
      </c>
      <c r="O243">
        <v>0</v>
      </c>
      <c r="P243">
        <v>0</v>
      </c>
    </row>
    <row r="244" spans="1:16" hidden="1" x14ac:dyDescent="0.35">
      <c r="A244">
        <v>244</v>
      </c>
      <c r="B244" s="50">
        <v>0</v>
      </c>
      <c r="C244" s="50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108</v>
      </c>
      <c r="J244">
        <v>0</v>
      </c>
      <c r="L244" t="s">
        <v>60</v>
      </c>
      <c r="N244">
        <v>0</v>
      </c>
      <c r="O244">
        <v>0</v>
      </c>
      <c r="P244">
        <v>0</v>
      </c>
    </row>
    <row r="245" spans="1:16" hidden="1" x14ac:dyDescent="0.35">
      <c r="A245">
        <v>245</v>
      </c>
      <c r="B245" s="50">
        <v>0</v>
      </c>
      <c r="C245" s="50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109</v>
      </c>
      <c r="J245">
        <v>0</v>
      </c>
      <c r="L245" t="s">
        <v>60</v>
      </c>
      <c r="N245">
        <v>0</v>
      </c>
      <c r="O245">
        <v>0</v>
      </c>
      <c r="P245">
        <v>0</v>
      </c>
    </row>
    <row r="246" spans="1:16" hidden="1" x14ac:dyDescent="0.35">
      <c r="A246">
        <v>246</v>
      </c>
      <c r="B246" s="50">
        <v>0</v>
      </c>
      <c r="C246" s="50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110</v>
      </c>
      <c r="J246">
        <v>0</v>
      </c>
      <c r="L246" t="s">
        <v>60</v>
      </c>
      <c r="N246">
        <v>0</v>
      </c>
      <c r="O246">
        <v>0</v>
      </c>
      <c r="P246">
        <v>0</v>
      </c>
    </row>
    <row r="247" spans="1:16" hidden="1" x14ac:dyDescent="0.35">
      <c r="A247">
        <v>247</v>
      </c>
      <c r="B247" s="50">
        <v>0</v>
      </c>
      <c r="C247" s="50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111</v>
      </c>
      <c r="J247">
        <v>0</v>
      </c>
      <c r="L247" t="s">
        <v>60</v>
      </c>
      <c r="N247">
        <v>0</v>
      </c>
      <c r="O247">
        <v>0</v>
      </c>
      <c r="P247">
        <v>0</v>
      </c>
    </row>
    <row r="248" spans="1:16" hidden="1" x14ac:dyDescent="0.35">
      <c r="A248">
        <v>248</v>
      </c>
      <c r="B248" s="50">
        <v>0</v>
      </c>
      <c r="C248" s="50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112</v>
      </c>
      <c r="J248">
        <v>0</v>
      </c>
      <c r="L248" t="s">
        <v>60</v>
      </c>
      <c r="N248">
        <v>0</v>
      </c>
      <c r="O248">
        <v>0</v>
      </c>
      <c r="P248">
        <v>0</v>
      </c>
    </row>
    <row r="249" spans="1:16" hidden="1" x14ac:dyDescent="0.35">
      <c r="A249">
        <v>249</v>
      </c>
      <c r="B249" s="50">
        <v>0</v>
      </c>
      <c r="C249" s="50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113</v>
      </c>
      <c r="J249">
        <v>0</v>
      </c>
      <c r="L249" t="s">
        <v>60</v>
      </c>
      <c r="N249">
        <v>0</v>
      </c>
      <c r="O249">
        <v>0</v>
      </c>
      <c r="P249">
        <v>0</v>
      </c>
    </row>
    <row r="250" spans="1:16" hidden="1" x14ac:dyDescent="0.35">
      <c r="A250">
        <v>250</v>
      </c>
      <c r="B250" s="50">
        <v>0</v>
      </c>
      <c r="C250" s="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114</v>
      </c>
      <c r="J250">
        <v>0</v>
      </c>
      <c r="L250" t="s">
        <v>60</v>
      </c>
      <c r="N250">
        <v>0</v>
      </c>
      <c r="O250">
        <v>0</v>
      </c>
      <c r="P250">
        <v>0</v>
      </c>
    </row>
    <row r="251" spans="1:16" hidden="1" x14ac:dyDescent="0.35">
      <c r="A251">
        <v>251</v>
      </c>
      <c r="B251" s="50">
        <v>0</v>
      </c>
      <c r="C251" s="50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115</v>
      </c>
      <c r="J251">
        <v>0</v>
      </c>
      <c r="L251" t="s">
        <v>60</v>
      </c>
      <c r="N251">
        <v>0</v>
      </c>
      <c r="O251">
        <v>0</v>
      </c>
      <c r="P251">
        <v>0</v>
      </c>
    </row>
    <row r="252" spans="1:16" hidden="1" x14ac:dyDescent="0.35">
      <c r="A252">
        <v>252</v>
      </c>
      <c r="B252" s="50">
        <v>0</v>
      </c>
      <c r="C252" s="50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116</v>
      </c>
      <c r="J252">
        <v>0</v>
      </c>
      <c r="L252" t="s">
        <v>60</v>
      </c>
      <c r="N252">
        <v>0</v>
      </c>
      <c r="O252">
        <v>0</v>
      </c>
      <c r="P252">
        <v>0</v>
      </c>
    </row>
    <row r="253" spans="1:16" hidden="1" x14ac:dyDescent="0.35">
      <c r="A253">
        <v>253</v>
      </c>
      <c r="B253" s="50">
        <v>0</v>
      </c>
      <c r="C253" s="50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117</v>
      </c>
      <c r="J253">
        <v>0</v>
      </c>
      <c r="L253" t="s">
        <v>60</v>
      </c>
      <c r="N253">
        <v>0</v>
      </c>
      <c r="O253">
        <v>0</v>
      </c>
      <c r="P253">
        <v>0</v>
      </c>
    </row>
    <row r="254" spans="1:16" hidden="1" x14ac:dyDescent="0.35">
      <c r="A254">
        <v>254</v>
      </c>
      <c r="B254" s="50">
        <v>0</v>
      </c>
      <c r="C254" s="50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118</v>
      </c>
      <c r="J254">
        <v>0</v>
      </c>
      <c r="L254" t="s">
        <v>60</v>
      </c>
      <c r="N254">
        <v>0</v>
      </c>
      <c r="O254">
        <v>0</v>
      </c>
      <c r="P254">
        <v>0</v>
      </c>
    </row>
    <row r="255" spans="1:16" hidden="1" x14ac:dyDescent="0.35">
      <c r="A255">
        <v>255</v>
      </c>
      <c r="B255" s="50">
        <v>0</v>
      </c>
      <c r="C255" s="50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119</v>
      </c>
      <c r="J255">
        <v>0</v>
      </c>
      <c r="L255" t="s">
        <v>60</v>
      </c>
      <c r="N255">
        <v>0</v>
      </c>
      <c r="O255">
        <v>0</v>
      </c>
      <c r="P255">
        <v>0</v>
      </c>
    </row>
    <row r="256" spans="1:16" hidden="1" x14ac:dyDescent="0.35">
      <c r="A256">
        <v>256</v>
      </c>
      <c r="B256" s="50">
        <v>0</v>
      </c>
      <c r="C256" s="50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120</v>
      </c>
      <c r="J256">
        <v>0</v>
      </c>
      <c r="L256" t="s">
        <v>60</v>
      </c>
      <c r="N256">
        <v>0</v>
      </c>
      <c r="O256">
        <v>0</v>
      </c>
      <c r="P256">
        <v>0</v>
      </c>
    </row>
    <row r="257" spans="1:16" hidden="1" x14ac:dyDescent="0.35">
      <c r="A257">
        <v>257</v>
      </c>
      <c r="B257" s="50">
        <v>0</v>
      </c>
      <c r="C257" s="50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121</v>
      </c>
      <c r="J257">
        <v>0</v>
      </c>
      <c r="L257" t="s">
        <v>60</v>
      </c>
      <c r="N257">
        <v>0</v>
      </c>
      <c r="O257">
        <v>0</v>
      </c>
      <c r="P257">
        <v>0</v>
      </c>
    </row>
    <row r="258" spans="1:16" hidden="1" x14ac:dyDescent="0.35">
      <c r="A258">
        <v>258</v>
      </c>
      <c r="B258" s="50">
        <v>0</v>
      </c>
      <c r="C258" s="50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122</v>
      </c>
      <c r="J258">
        <v>0</v>
      </c>
      <c r="L258" t="s">
        <v>60</v>
      </c>
      <c r="N258">
        <v>0</v>
      </c>
      <c r="O258">
        <v>0</v>
      </c>
      <c r="P258">
        <v>0</v>
      </c>
    </row>
    <row r="259" spans="1:16" hidden="1" x14ac:dyDescent="0.35">
      <c r="A259">
        <v>259</v>
      </c>
      <c r="B259" s="50">
        <v>0</v>
      </c>
      <c r="C259" s="50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123</v>
      </c>
      <c r="J259">
        <v>0</v>
      </c>
      <c r="L259" t="s">
        <v>60</v>
      </c>
      <c r="N259">
        <v>0</v>
      </c>
      <c r="O259">
        <v>0</v>
      </c>
      <c r="P259">
        <v>0</v>
      </c>
    </row>
    <row r="260" spans="1:16" hidden="1" x14ac:dyDescent="0.35">
      <c r="A260">
        <v>260</v>
      </c>
      <c r="B260" s="50">
        <v>0</v>
      </c>
      <c r="C260" s="5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124</v>
      </c>
      <c r="J260">
        <v>0</v>
      </c>
      <c r="L260" t="s">
        <v>60</v>
      </c>
      <c r="N260">
        <v>0</v>
      </c>
      <c r="O260">
        <v>0</v>
      </c>
      <c r="P260">
        <v>0</v>
      </c>
    </row>
    <row r="261" spans="1:16" hidden="1" x14ac:dyDescent="0.35">
      <c r="A261">
        <v>261</v>
      </c>
      <c r="B261" s="50">
        <v>0</v>
      </c>
      <c r="C261" s="50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125</v>
      </c>
      <c r="J261">
        <v>0</v>
      </c>
      <c r="L261" t="s">
        <v>60</v>
      </c>
      <c r="N261">
        <v>0</v>
      </c>
      <c r="O261">
        <v>0</v>
      </c>
      <c r="P261">
        <v>0</v>
      </c>
    </row>
    <row r="262" spans="1:16" hidden="1" x14ac:dyDescent="0.35">
      <c r="A262">
        <v>262</v>
      </c>
      <c r="B262" s="50">
        <v>0</v>
      </c>
      <c r="C262" s="50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126</v>
      </c>
      <c r="J262">
        <v>0</v>
      </c>
      <c r="L262" t="s">
        <v>60</v>
      </c>
      <c r="N262">
        <v>0</v>
      </c>
      <c r="O262">
        <v>0</v>
      </c>
      <c r="P262">
        <v>0</v>
      </c>
    </row>
    <row r="263" spans="1:16" hidden="1" x14ac:dyDescent="0.35">
      <c r="A263">
        <v>263</v>
      </c>
      <c r="B263" s="50">
        <v>0</v>
      </c>
      <c r="C263" s="50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127</v>
      </c>
      <c r="J263">
        <v>0</v>
      </c>
      <c r="L263" t="s">
        <v>60</v>
      </c>
      <c r="N263">
        <v>0</v>
      </c>
      <c r="O263">
        <v>0</v>
      </c>
      <c r="P263">
        <v>0</v>
      </c>
    </row>
    <row r="264" spans="1:16" hidden="1" x14ac:dyDescent="0.35">
      <c r="A264">
        <v>264</v>
      </c>
      <c r="B264" s="50">
        <v>0</v>
      </c>
      <c r="C264" s="50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128</v>
      </c>
      <c r="J264">
        <v>0</v>
      </c>
      <c r="L264" t="s">
        <v>60</v>
      </c>
      <c r="N264">
        <v>0</v>
      </c>
      <c r="O264">
        <v>0</v>
      </c>
      <c r="P264">
        <v>0</v>
      </c>
    </row>
    <row r="265" spans="1:16" hidden="1" x14ac:dyDescent="0.35">
      <c r="A265">
        <v>265</v>
      </c>
      <c r="B265" s="50">
        <v>0</v>
      </c>
      <c r="C265" s="50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129</v>
      </c>
      <c r="J265">
        <v>0</v>
      </c>
      <c r="L265" t="s">
        <v>60</v>
      </c>
      <c r="N265">
        <v>0</v>
      </c>
      <c r="O265">
        <v>0</v>
      </c>
      <c r="P265">
        <v>0</v>
      </c>
    </row>
    <row r="266" spans="1:16" hidden="1" x14ac:dyDescent="0.35">
      <c r="A266">
        <v>266</v>
      </c>
      <c r="B266" s="50">
        <v>0</v>
      </c>
      <c r="C266" s="50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130</v>
      </c>
      <c r="J266">
        <v>0</v>
      </c>
      <c r="L266" t="s">
        <v>60</v>
      </c>
      <c r="N266">
        <v>0</v>
      </c>
      <c r="O266">
        <v>0</v>
      </c>
      <c r="P266">
        <v>0</v>
      </c>
    </row>
    <row r="267" spans="1:16" hidden="1" x14ac:dyDescent="0.35">
      <c r="A267">
        <v>267</v>
      </c>
      <c r="B267" s="50">
        <v>0</v>
      </c>
      <c r="C267" s="50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131</v>
      </c>
      <c r="J267">
        <v>0</v>
      </c>
      <c r="L267" t="s">
        <v>60</v>
      </c>
      <c r="N267">
        <v>0</v>
      </c>
      <c r="O267">
        <v>0</v>
      </c>
      <c r="P267">
        <v>0</v>
      </c>
    </row>
    <row r="268" spans="1:16" hidden="1" x14ac:dyDescent="0.35">
      <c r="A268">
        <v>268</v>
      </c>
      <c r="B268" s="50">
        <v>0</v>
      </c>
      <c r="C268" s="50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132</v>
      </c>
      <c r="J268">
        <v>0</v>
      </c>
      <c r="L268" t="s">
        <v>60</v>
      </c>
      <c r="N268">
        <v>0</v>
      </c>
      <c r="O268">
        <v>0</v>
      </c>
      <c r="P268">
        <v>0</v>
      </c>
    </row>
    <row r="269" spans="1:16" hidden="1" x14ac:dyDescent="0.35">
      <c r="A269">
        <v>269</v>
      </c>
      <c r="B269" s="50">
        <v>0</v>
      </c>
      <c r="C269" s="50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133</v>
      </c>
      <c r="J269">
        <v>0</v>
      </c>
      <c r="L269" t="s">
        <v>60</v>
      </c>
      <c r="N269">
        <v>0</v>
      </c>
      <c r="O269">
        <v>0</v>
      </c>
      <c r="P269">
        <v>0</v>
      </c>
    </row>
    <row r="270" spans="1:16" hidden="1" x14ac:dyDescent="0.35">
      <c r="A270">
        <v>270</v>
      </c>
      <c r="B270" s="50">
        <v>0</v>
      </c>
      <c r="C270" s="5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134</v>
      </c>
      <c r="J270">
        <v>0</v>
      </c>
      <c r="L270" t="s">
        <v>60</v>
      </c>
      <c r="N270">
        <v>0</v>
      </c>
      <c r="O270">
        <v>0</v>
      </c>
      <c r="P270">
        <v>0</v>
      </c>
    </row>
    <row r="271" spans="1:16" hidden="1" x14ac:dyDescent="0.35">
      <c r="A271">
        <v>271</v>
      </c>
      <c r="B271" s="50">
        <v>0</v>
      </c>
      <c r="C271" s="50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135</v>
      </c>
      <c r="J271">
        <v>0</v>
      </c>
      <c r="L271" t="s">
        <v>60</v>
      </c>
      <c r="N271">
        <v>0</v>
      </c>
      <c r="O271">
        <v>0</v>
      </c>
      <c r="P271">
        <v>0</v>
      </c>
    </row>
    <row r="272" spans="1:16" hidden="1" x14ac:dyDescent="0.35">
      <c r="A272">
        <v>272</v>
      </c>
      <c r="B272" s="50">
        <v>0</v>
      </c>
      <c r="C272" s="50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136</v>
      </c>
      <c r="J272">
        <v>0</v>
      </c>
      <c r="L272" t="s">
        <v>60</v>
      </c>
      <c r="N272">
        <v>0</v>
      </c>
      <c r="O272">
        <v>0</v>
      </c>
      <c r="P272">
        <v>0</v>
      </c>
    </row>
    <row r="273" spans="1:16" hidden="1" x14ac:dyDescent="0.35">
      <c r="A273">
        <v>273</v>
      </c>
      <c r="B273" s="50">
        <v>0</v>
      </c>
      <c r="C273" s="50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137</v>
      </c>
      <c r="J273">
        <v>0</v>
      </c>
      <c r="L273" t="s">
        <v>60</v>
      </c>
      <c r="N273">
        <v>0</v>
      </c>
      <c r="O273">
        <v>0</v>
      </c>
      <c r="P273">
        <v>0</v>
      </c>
    </row>
    <row r="274" spans="1:16" hidden="1" x14ac:dyDescent="0.35">
      <c r="A274">
        <v>274</v>
      </c>
      <c r="B274" s="50">
        <v>0</v>
      </c>
      <c r="C274" s="50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138</v>
      </c>
      <c r="J274">
        <v>0</v>
      </c>
      <c r="L274" t="s">
        <v>60</v>
      </c>
      <c r="N274">
        <v>0</v>
      </c>
      <c r="O274">
        <v>0</v>
      </c>
      <c r="P274">
        <v>0</v>
      </c>
    </row>
    <row r="275" spans="1:16" hidden="1" x14ac:dyDescent="0.35">
      <c r="A275">
        <v>275</v>
      </c>
      <c r="B275" s="50">
        <v>0</v>
      </c>
      <c r="C275" s="50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139</v>
      </c>
      <c r="J275">
        <v>0</v>
      </c>
      <c r="L275" t="s">
        <v>60</v>
      </c>
      <c r="N275">
        <v>0</v>
      </c>
      <c r="O275">
        <v>0</v>
      </c>
      <c r="P275">
        <v>0</v>
      </c>
    </row>
    <row r="276" spans="1:16" hidden="1" x14ac:dyDescent="0.35">
      <c r="A276">
        <v>276</v>
      </c>
      <c r="B276" s="50">
        <v>0</v>
      </c>
      <c r="C276" s="50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140</v>
      </c>
      <c r="J276">
        <v>0</v>
      </c>
      <c r="L276" t="s">
        <v>60</v>
      </c>
      <c r="N276">
        <v>0</v>
      </c>
      <c r="O276">
        <v>0</v>
      </c>
      <c r="P276">
        <v>0</v>
      </c>
    </row>
    <row r="277" spans="1:16" hidden="1" x14ac:dyDescent="0.35">
      <c r="A277">
        <v>277</v>
      </c>
      <c r="B277" s="50">
        <v>0</v>
      </c>
      <c r="C277" s="50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141</v>
      </c>
      <c r="J277">
        <v>0</v>
      </c>
      <c r="L277" t="s">
        <v>60</v>
      </c>
      <c r="N277">
        <v>0</v>
      </c>
      <c r="O277">
        <v>0</v>
      </c>
      <c r="P277">
        <v>0</v>
      </c>
    </row>
    <row r="278" spans="1:16" hidden="1" x14ac:dyDescent="0.35">
      <c r="A278">
        <v>278</v>
      </c>
      <c r="B278" s="50">
        <v>0</v>
      </c>
      <c r="C278" s="50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142</v>
      </c>
      <c r="J278">
        <v>0</v>
      </c>
      <c r="L278" t="s">
        <v>60</v>
      </c>
      <c r="N278">
        <v>0</v>
      </c>
      <c r="O278">
        <v>0</v>
      </c>
      <c r="P278">
        <v>0</v>
      </c>
    </row>
    <row r="279" spans="1:16" hidden="1" x14ac:dyDescent="0.35">
      <c r="A279">
        <v>279</v>
      </c>
      <c r="B279" s="50">
        <v>0</v>
      </c>
      <c r="C279" s="50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143</v>
      </c>
      <c r="J279">
        <v>0</v>
      </c>
      <c r="L279" t="s">
        <v>60</v>
      </c>
      <c r="N279">
        <v>0</v>
      </c>
      <c r="O279">
        <v>0</v>
      </c>
      <c r="P279">
        <v>0</v>
      </c>
    </row>
    <row r="280" spans="1:16" hidden="1" x14ac:dyDescent="0.35">
      <c r="A280">
        <v>280</v>
      </c>
      <c r="B280" s="50">
        <v>0</v>
      </c>
      <c r="C280" s="5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144</v>
      </c>
      <c r="J280">
        <v>0</v>
      </c>
      <c r="L280" t="s">
        <v>60</v>
      </c>
      <c r="N280">
        <v>0</v>
      </c>
      <c r="O280">
        <v>0</v>
      </c>
      <c r="P280">
        <v>0</v>
      </c>
    </row>
    <row r="281" spans="1:16" hidden="1" x14ac:dyDescent="0.35">
      <c r="A281">
        <v>281</v>
      </c>
      <c r="B281" s="50">
        <v>0</v>
      </c>
      <c r="C281" s="50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145</v>
      </c>
      <c r="J281">
        <v>0</v>
      </c>
      <c r="L281" t="s">
        <v>60</v>
      </c>
      <c r="N281">
        <v>0</v>
      </c>
      <c r="O281">
        <v>0</v>
      </c>
      <c r="P281">
        <v>0</v>
      </c>
    </row>
    <row r="282" spans="1:16" hidden="1" x14ac:dyDescent="0.35">
      <c r="A282">
        <v>282</v>
      </c>
      <c r="B282" s="50">
        <v>0</v>
      </c>
      <c r="C282" s="50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146</v>
      </c>
      <c r="J282">
        <v>0</v>
      </c>
      <c r="L282" t="s">
        <v>60</v>
      </c>
      <c r="N282">
        <v>0</v>
      </c>
      <c r="O282">
        <v>0</v>
      </c>
      <c r="P282">
        <v>0</v>
      </c>
    </row>
    <row r="283" spans="1:16" hidden="1" x14ac:dyDescent="0.35">
      <c r="A283">
        <v>283</v>
      </c>
      <c r="B283" s="50">
        <v>0</v>
      </c>
      <c r="C283" s="50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147</v>
      </c>
      <c r="J283">
        <v>0</v>
      </c>
      <c r="L283" t="s">
        <v>60</v>
      </c>
      <c r="N283">
        <v>0</v>
      </c>
      <c r="O283">
        <v>0</v>
      </c>
      <c r="P283">
        <v>0</v>
      </c>
    </row>
    <row r="284" spans="1:16" hidden="1" x14ac:dyDescent="0.35">
      <c r="A284">
        <v>284</v>
      </c>
      <c r="B284" s="50">
        <v>0</v>
      </c>
      <c r="C284" s="50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148</v>
      </c>
      <c r="J284">
        <v>0</v>
      </c>
      <c r="L284" t="s">
        <v>60</v>
      </c>
      <c r="N284">
        <v>0</v>
      </c>
      <c r="O284">
        <v>0</v>
      </c>
      <c r="P284">
        <v>0</v>
      </c>
    </row>
    <row r="285" spans="1:16" hidden="1" x14ac:dyDescent="0.35">
      <c r="A285">
        <v>285</v>
      </c>
      <c r="B285" s="50">
        <v>0</v>
      </c>
      <c r="C285" s="50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149</v>
      </c>
      <c r="J285">
        <v>0</v>
      </c>
      <c r="L285" t="s">
        <v>60</v>
      </c>
      <c r="N285">
        <v>0</v>
      </c>
      <c r="O285">
        <v>0</v>
      </c>
      <c r="P285">
        <v>0</v>
      </c>
    </row>
    <row r="286" spans="1:16" hidden="1" x14ac:dyDescent="0.35">
      <c r="A286">
        <v>286</v>
      </c>
      <c r="B286" s="50">
        <v>0</v>
      </c>
      <c r="C286" s="50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150</v>
      </c>
      <c r="J286">
        <v>0</v>
      </c>
      <c r="L286" t="s">
        <v>60</v>
      </c>
      <c r="N286">
        <v>0</v>
      </c>
      <c r="O286">
        <v>0</v>
      </c>
      <c r="P286">
        <v>0</v>
      </c>
    </row>
    <row r="287" spans="1:16" hidden="1" x14ac:dyDescent="0.35">
      <c r="A287">
        <v>287</v>
      </c>
      <c r="B287" s="50">
        <v>0</v>
      </c>
      <c r="C287" s="50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151</v>
      </c>
      <c r="J287">
        <v>0</v>
      </c>
      <c r="L287" t="s">
        <v>60</v>
      </c>
      <c r="N287">
        <v>0</v>
      </c>
      <c r="O287">
        <v>0</v>
      </c>
      <c r="P287">
        <v>0</v>
      </c>
    </row>
    <row r="288" spans="1:16" hidden="1" x14ac:dyDescent="0.35">
      <c r="A288">
        <v>288</v>
      </c>
      <c r="B288" s="50">
        <v>0</v>
      </c>
      <c r="C288" s="50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152</v>
      </c>
      <c r="J288">
        <v>0</v>
      </c>
      <c r="L288" t="s">
        <v>60</v>
      </c>
      <c r="N288">
        <v>0</v>
      </c>
      <c r="O288">
        <v>0</v>
      </c>
      <c r="P288">
        <v>0</v>
      </c>
    </row>
    <row r="289" spans="1:16" hidden="1" x14ac:dyDescent="0.35">
      <c r="A289">
        <v>289</v>
      </c>
      <c r="B289" s="50">
        <v>0</v>
      </c>
      <c r="C289" s="50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153</v>
      </c>
      <c r="J289">
        <v>0</v>
      </c>
      <c r="L289" t="s">
        <v>60</v>
      </c>
      <c r="N289">
        <v>0</v>
      </c>
      <c r="O289">
        <v>0</v>
      </c>
      <c r="P289">
        <v>0</v>
      </c>
    </row>
    <row r="290" spans="1:16" hidden="1" x14ac:dyDescent="0.35">
      <c r="A290">
        <v>290</v>
      </c>
      <c r="B290" s="50">
        <v>0</v>
      </c>
      <c r="C290" s="5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154</v>
      </c>
      <c r="J290">
        <v>0</v>
      </c>
      <c r="L290" t="s">
        <v>60</v>
      </c>
      <c r="N290">
        <v>0</v>
      </c>
      <c r="O290">
        <v>0</v>
      </c>
      <c r="P290">
        <v>0</v>
      </c>
    </row>
    <row r="291" spans="1:16" hidden="1" x14ac:dyDescent="0.35">
      <c r="A291">
        <v>291</v>
      </c>
      <c r="B291" s="50">
        <v>0</v>
      </c>
      <c r="C291" s="50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155</v>
      </c>
      <c r="J291">
        <v>0</v>
      </c>
      <c r="L291" t="s">
        <v>60</v>
      </c>
      <c r="N291">
        <v>0</v>
      </c>
      <c r="O291">
        <v>0</v>
      </c>
      <c r="P291">
        <v>0</v>
      </c>
    </row>
    <row r="292" spans="1:16" hidden="1" x14ac:dyDescent="0.35">
      <c r="A292">
        <v>292</v>
      </c>
      <c r="B292" s="50">
        <v>0</v>
      </c>
      <c r="C292" s="50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156</v>
      </c>
      <c r="J292">
        <v>0</v>
      </c>
      <c r="L292" t="s">
        <v>60</v>
      </c>
      <c r="N292">
        <v>0</v>
      </c>
      <c r="O292">
        <v>0</v>
      </c>
      <c r="P292">
        <v>0</v>
      </c>
    </row>
    <row r="293" spans="1:16" hidden="1" x14ac:dyDescent="0.35">
      <c r="A293">
        <v>293</v>
      </c>
      <c r="B293" s="50">
        <v>0</v>
      </c>
      <c r="C293" s="50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157</v>
      </c>
      <c r="J293">
        <v>0</v>
      </c>
      <c r="L293" t="s">
        <v>60</v>
      </c>
      <c r="N293">
        <v>0</v>
      </c>
      <c r="O293">
        <v>0</v>
      </c>
      <c r="P293">
        <v>0</v>
      </c>
    </row>
    <row r="294" spans="1:16" hidden="1" x14ac:dyDescent="0.35">
      <c r="A294">
        <v>294</v>
      </c>
      <c r="B294" s="50">
        <v>0</v>
      </c>
      <c r="C294" s="50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158</v>
      </c>
      <c r="J294">
        <v>0</v>
      </c>
      <c r="L294" t="s">
        <v>60</v>
      </c>
      <c r="N294">
        <v>0</v>
      </c>
      <c r="O294">
        <v>0</v>
      </c>
      <c r="P294">
        <v>0</v>
      </c>
    </row>
    <row r="295" spans="1:16" hidden="1" x14ac:dyDescent="0.35">
      <c r="A295">
        <v>295</v>
      </c>
      <c r="B295" s="50">
        <v>0</v>
      </c>
      <c r="C295" s="50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159</v>
      </c>
      <c r="J295">
        <v>0</v>
      </c>
      <c r="L295" t="s">
        <v>60</v>
      </c>
      <c r="N295">
        <v>0</v>
      </c>
      <c r="O295">
        <v>0</v>
      </c>
      <c r="P295">
        <v>0</v>
      </c>
    </row>
    <row r="296" spans="1:16" hidden="1" x14ac:dyDescent="0.35">
      <c r="A296">
        <v>296</v>
      </c>
      <c r="B296" s="50">
        <v>0</v>
      </c>
      <c r="C296" s="50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160</v>
      </c>
      <c r="J296">
        <v>0</v>
      </c>
      <c r="L296" t="s">
        <v>60</v>
      </c>
      <c r="N296">
        <v>0</v>
      </c>
      <c r="O296">
        <v>0</v>
      </c>
      <c r="P296">
        <v>0</v>
      </c>
    </row>
    <row r="297" spans="1:16" hidden="1" x14ac:dyDescent="0.35">
      <c r="A297">
        <v>297</v>
      </c>
      <c r="B297" s="50">
        <v>0</v>
      </c>
      <c r="C297" s="50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161</v>
      </c>
      <c r="J297">
        <v>0</v>
      </c>
      <c r="L297" t="s">
        <v>60</v>
      </c>
      <c r="N297">
        <v>0</v>
      </c>
      <c r="O297">
        <v>0</v>
      </c>
      <c r="P297">
        <v>0</v>
      </c>
    </row>
    <row r="298" spans="1:16" hidden="1" x14ac:dyDescent="0.35">
      <c r="A298">
        <v>298</v>
      </c>
      <c r="B298" s="50">
        <v>0</v>
      </c>
      <c r="C298" s="50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162</v>
      </c>
      <c r="J298">
        <v>0</v>
      </c>
      <c r="L298" t="s">
        <v>60</v>
      </c>
      <c r="N298">
        <v>0</v>
      </c>
      <c r="O298">
        <v>0</v>
      </c>
      <c r="P298">
        <v>0</v>
      </c>
    </row>
    <row r="299" spans="1:16" hidden="1" x14ac:dyDescent="0.35">
      <c r="A299">
        <v>299</v>
      </c>
      <c r="B299" s="50">
        <v>0</v>
      </c>
      <c r="C299" s="50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163</v>
      </c>
      <c r="J299">
        <v>0</v>
      </c>
      <c r="L299" t="s">
        <v>60</v>
      </c>
      <c r="N299">
        <v>0</v>
      </c>
      <c r="O299">
        <v>0</v>
      </c>
      <c r="P299">
        <v>0</v>
      </c>
    </row>
    <row r="300" spans="1:16" hidden="1" x14ac:dyDescent="0.35">
      <c r="A300">
        <v>300</v>
      </c>
      <c r="B300" s="50">
        <v>0</v>
      </c>
      <c r="C300" s="5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164</v>
      </c>
      <c r="J300">
        <v>0</v>
      </c>
      <c r="L300" t="s">
        <v>60</v>
      </c>
      <c r="N300">
        <v>0</v>
      </c>
      <c r="O300">
        <v>0</v>
      </c>
      <c r="P300">
        <v>0</v>
      </c>
    </row>
    <row r="301" spans="1:16" hidden="1" x14ac:dyDescent="0.35">
      <c r="A301">
        <v>301</v>
      </c>
      <c r="B301" s="50">
        <v>0</v>
      </c>
      <c r="C301" s="50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165</v>
      </c>
      <c r="J301">
        <v>0</v>
      </c>
      <c r="L301" t="s">
        <v>60</v>
      </c>
      <c r="N301">
        <v>0</v>
      </c>
      <c r="O301">
        <v>0</v>
      </c>
      <c r="P301">
        <v>0</v>
      </c>
    </row>
    <row r="302" spans="1:16" hidden="1" x14ac:dyDescent="0.35">
      <c r="A302">
        <v>302</v>
      </c>
      <c r="B302" s="50">
        <v>0</v>
      </c>
      <c r="C302" s="50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166</v>
      </c>
      <c r="J302">
        <v>0</v>
      </c>
      <c r="L302" t="s">
        <v>60</v>
      </c>
      <c r="N302">
        <v>0</v>
      </c>
      <c r="O302">
        <v>0</v>
      </c>
      <c r="P302">
        <v>0</v>
      </c>
    </row>
    <row r="303" spans="1:16" hidden="1" x14ac:dyDescent="0.35">
      <c r="A303">
        <v>303</v>
      </c>
      <c r="B303" s="50">
        <v>0</v>
      </c>
      <c r="C303" s="50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167</v>
      </c>
      <c r="J303">
        <v>0</v>
      </c>
      <c r="L303" t="s">
        <v>60</v>
      </c>
      <c r="N303">
        <v>0</v>
      </c>
      <c r="O303">
        <v>0</v>
      </c>
      <c r="P303">
        <v>0</v>
      </c>
    </row>
    <row r="304" spans="1:16" hidden="1" x14ac:dyDescent="0.35">
      <c r="A304">
        <v>304</v>
      </c>
      <c r="B304" s="50">
        <v>0</v>
      </c>
      <c r="C304" s="50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168</v>
      </c>
      <c r="J304">
        <v>0</v>
      </c>
      <c r="L304" t="s">
        <v>60</v>
      </c>
      <c r="N304">
        <v>0</v>
      </c>
      <c r="O304">
        <v>0</v>
      </c>
      <c r="P304">
        <v>0</v>
      </c>
    </row>
    <row r="305" spans="1:16" hidden="1" x14ac:dyDescent="0.35">
      <c r="A305">
        <v>305</v>
      </c>
      <c r="B305" s="50">
        <v>0</v>
      </c>
      <c r="C305" s="50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169</v>
      </c>
      <c r="J305">
        <v>0</v>
      </c>
      <c r="L305" t="s">
        <v>60</v>
      </c>
      <c r="N305">
        <v>0</v>
      </c>
      <c r="O305">
        <v>0</v>
      </c>
      <c r="P305">
        <v>0</v>
      </c>
    </row>
    <row r="306" spans="1:16" hidden="1" x14ac:dyDescent="0.35">
      <c r="A306">
        <v>306</v>
      </c>
      <c r="B306" s="50">
        <v>0</v>
      </c>
      <c r="C306" s="50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170</v>
      </c>
      <c r="J306">
        <v>0</v>
      </c>
      <c r="L306" t="s">
        <v>60</v>
      </c>
      <c r="N306">
        <v>0</v>
      </c>
      <c r="O306">
        <v>0</v>
      </c>
      <c r="P306">
        <v>0</v>
      </c>
    </row>
    <row r="307" spans="1:16" hidden="1" x14ac:dyDescent="0.35">
      <c r="A307">
        <v>307</v>
      </c>
      <c r="B307" s="50">
        <v>0</v>
      </c>
      <c r="C307" s="50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171</v>
      </c>
      <c r="J307">
        <v>0</v>
      </c>
      <c r="L307" t="s">
        <v>60</v>
      </c>
      <c r="N307">
        <v>0</v>
      </c>
      <c r="O307">
        <v>0</v>
      </c>
      <c r="P307">
        <v>0</v>
      </c>
    </row>
    <row r="308" spans="1:16" hidden="1" x14ac:dyDescent="0.3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topLeftCell="A7" workbookViewId="0">
      <pane xSplit="8" topLeftCell="I1" activePane="topRight" state="frozen"/>
      <selection pane="topRight" activeCell="B13" sqref="B13"/>
    </sheetView>
  </sheetViews>
  <sheetFormatPr defaultRowHeight="14.5" x14ac:dyDescent="0.35"/>
  <cols>
    <col min="1" max="1" width="22.54296875" bestFit="1" customWidth="1"/>
    <col min="2" max="2" width="10.90625" customWidth="1"/>
    <col min="3" max="3" width="11.90625" style="21" bestFit="1" customWidth="1"/>
    <col min="4" max="4" width="13.08984375" style="21" bestFit="1" customWidth="1"/>
    <col min="5" max="5" width="10.90625" bestFit="1" customWidth="1"/>
    <col min="6" max="6" width="8.7265625" customWidth="1"/>
    <col min="7" max="7" width="7.453125" customWidth="1"/>
    <col min="8" max="8" width="9.36328125" customWidth="1"/>
    <col min="9" max="9" width="8.7265625" customWidth="1"/>
    <col min="10" max="10" width="10.90625" bestFit="1" customWidth="1"/>
  </cols>
  <sheetData>
    <row r="1" spans="1:10" s="79" customFormat="1" x14ac:dyDescent="0.35">
      <c r="A1" s="92" t="s">
        <v>197</v>
      </c>
      <c r="B1" s="92"/>
      <c r="C1" s="92"/>
      <c r="D1" s="92"/>
      <c r="E1" s="92"/>
      <c r="F1" s="92"/>
      <c r="G1" s="92"/>
      <c r="H1" s="92"/>
    </row>
    <row r="2" spans="1:10" x14ac:dyDescent="0.35">
      <c r="A2" t="s">
        <v>64</v>
      </c>
      <c r="C2" s="19">
        <v>100000</v>
      </c>
      <c r="D2" s="21" t="s">
        <v>192</v>
      </c>
      <c r="E2" s="19">
        <v>10000</v>
      </c>
      <c r="F2" s="92" t="s">
        <v>194</v>
      </c>
      <c r="G2" s="92"/>
      <c r="H2" s="92"/>
    </row>
    <row r="3" spans="1:10" ht="43.5" x14ac:dyDescent="0.35">
      <c r="A3" t="s">
        <v>190</v>
      </c>
      <c r="B3" s="78" t="s">
        <v>195</v>
      </c>
      <c r="C3" s="21" t="s">
        <v>191</v>
      </c>
      <c r="D3" s="21" t="s">
        <v>135</v>
      </c>
      <c r="E3" t="s">
        <v>193</v>
      </c>
      <c r="F3" s="80" t="s">
        <v>196</v>
      </c>
      <c r="G3" s="81" t="s">
        <v>198</v>
      </c>
      <c r="H3" s="82" t="s">
        <v>199</v>
      </c>
      <c r="I3" s="78" t="s">
        <v>200</v>
      </c>
      <c r="J3" s="78" t="s">
        <v>201</v>
      </c>
    </row>
    <row r="4" spans="1:10" x14ac:dyDescent="0.35">
      <c r="A4" s="84">
        <v>46174</v>
      </c>
      <c r="B4" s="19">
        <f>E4*2</f>
        <v>6000</v>
      </c>
      <c r="C4" s="74">
        <f>E2+B4</f>
        <v>16000</v>
      </c>
      <c r="D4" s="19">
        <f>C2+B4</f>
        <v>106000</v>
      </c>
      <c r="E4" s="19">
        <f>C2*F4</f>
        <v>3000</v>
      </c>
      <c r="F4" s="69">
        <v>0.03</v>
      </c>
      <c r="G4" s="69">
        <v>0.02</v>
      </c>
      <c r="H4" s="83">
        <v>0.01</v>
      </c>
      <c r="I4" s="93">
        <v>0.05</v>
      </c>
      <c r="J4" s="19">
        <f>I4*C2</f>
        <v>5000</v>
      </c>
    </row>
    <row r="5" spans="1:10" x14ac:dyDescent="0.35">
      <c r="A5" s="84">
        <f>A4+1</f>
        <v>46175</v>
      </c>
      <c r="B5" s="19">
        <f>E5*2</f>
        <v>6360</v>
      </c>
      <c r="C5" s="74">
        <f>C4+B5</f>
        <v>22360</v>
      </c>
      <c r="D5" s="19">
        <f>D4+B5</f>
        <v>112360</v>
      </c>
      <c r="E5" s="19">
        <f>D4*F5</f>
        <v>3180</v>
      </c>
      <c r="F5" s="69">
        <v>0.03</v>
      </c>
      <c r="G5" s="69">
        <v>0.02</v>
      </c>
      <c r="H5" s="83">
        <v>0.01</v>
      </c>
      <c r="I5" s="93">
        <v>0.05</v>
      </c>
      <c r="J5" s="19">
        <f>I5*D4</f>
        <v>5300</v>
      </c>
    </row>
    <row r="6" spans="1:10" x14ac:dyDescent="0.35">
      <c r="A6" s="84">
        <f>A5+1</f>
        <v>46176</v>
      </c>
      <c r="B6" s="19">
        <f t="shared" ref="B6:B25" si="0">E6*2</f>
        <v>6741.5999999999995</v>
      </c>
      <c r="C6" s="74">
        <f t="shared" ref="C6:C25" si="1">C5+B6</f>
        <v>29101.599999999999</v>
      </c>
      <c r="D6" s="19">
        <f t="shared" ref="D6:D25" si="2">D5+B6</f>
        <v>119101.6</v>
      </c>
      <c r="E6" s="19">
        <f t="shared" ref="E6:E25" si="3">D5*F6</f>
        <v>3370.7999999999997</v>
      </c>
      <c r="F6" s="69">
        <v>0.03</v>
      </c>
      <c r="G6" s="69">
        <v>0.02</v>
      </c>
      <c r="H6" s="83">
        <v>0.01</v>
      </c>
      <c r="I6" s="93">
        <v>0.05</v>
      </c>
      <c r="J6" s="19">
        <f t="shared" ref="J6:J25" si="4">I6*D5</f>
        <v>5618</v>
      </c>
    </row>
    <row r="7" spans="1:10" x14ac:dyDescent="0.35">
      <c r="A7" s="84">
        <f t="shared" ref="A7:A8" si="5">A6+1</f>
        <v>46177</v>
      </c>
      <c r="B7" s="19">
        <f t="shared" si="0"/>
        <v>7146.0960000000005</v>
      </c>
      <c r="C7" s="74">
        <f t="shared" si="1"/>
        <v>36247.695999999996</v>
      </c>
      <c r="D7" s="19">
        <f t="shared" si="2"/>
        <v>126247.69600000001</v>
      </c>
      <c r="E7" s="19">
        <f t="shared" si="3"/>
        <v>3573.0480000000002</v>
      </c>
      <c r="F7" s="69">
        <v>0.03</v>
      </c>
      <c r="G7" s="69">
        <v>0.02</v>
      </c>
      <c r="H7" s="83">
        <v>0.01</v>
      </c>
      <c r="I7" s="93">
        <v>0.05</v>
      </c>
      <c r="J7" s="19">
        <f t="shared" si="4"/>
        <v>5955.0800000000008</v>
      </c>
    </row>
    <row r="8" spans="1:10" x14ac:dyDescent="0.35">
      <c r="A8" s="84">
        <f t="shared" si="5"/>
        <v>46178</v>
      </c>
      <c r="B8" s="19">
        <f t="shared" si="0"/>
        <v>7574.8617600000007</v>
      </c>
      <c r="C8" s="74">
        <f t="shared" si="1"/>
        <v>43822.557759999996</v>
      </c>
      <c r="D8" s="19">
        <f t="shared" si="2"/>
        <v>133822.55776000003</v>
      </c>
      <c r="E8" s="19">
        <f t="shared" si="3"/>
        <v>3787.4308800000003</v>
      </c>
      <c r="F8" s="69">
        <v>0.03</v>
      </c>
      <c r="G8" s="69">
        <v>0.02</v>
      </c>
      <c r="H8" s="83">
        <v>0.01</v>
      </c>
      <c r="I8" s="93">
        <v>0.05</v>
      </c>
      <c r="J8" s="19">
        <f t="shared" si="4"/>
        <v>6312.3848000000007</v>
      </c>
    </row>
    <row r="9" spans="1:10" x14ac:dyDescent="0.35">
      <c r="A9" s="84">
        <f>A8+3</f>
        <v>46181</v>
      </c>
      <c r="B9" s="19">
        <f t="shared" si="0"/>
        <v>8029.3534656000011</v>
      </c>
      <c r="C9" s="74">
        <f t="shared" si="1"/>
        <v>51851.911225599993</v>
      </c>
      <c r="D9" s="19">
        <f t="shared" si="2"/>
        <v>141851.91122560002</v>
      </c>
      <c r="E9" s="19">
        <f t="shared" si="3"/>
        <v>4014.6767328000005</v>
      </c>
      <c r="F9" s="69">
        <v>0.03</v>
      </c>
      <c r="G9" s="69">
        <v>0.02</v>
      </c>
      <c r="H9" s="83">
        <v>0.01</v>
      </c>
      <c r="I9" s="93">
        <v>0.05</v>
      </c>
      <c r="J9" s="19">
        <f t="shared" si="4"/>
        <v>6691.1278880000018</v>
      </c>
    </row>
    <row r="10" spans="1:10" x14ac:dyDescent="0.35">
      <c r="A10" s="84">
        <f>A9+1</f>
        <v>46182</v>
      </c>
      <c r="B10" s="19">
        <f t="shared" si="0"/>
        <v>8511.1146735360016</v>
      </c>
      <c r="C10" s="74">
        <f t="shared" si="1"/>
        <v>60363.025899135995</v>
      </c>
      <c r="D10" s="19">
        <f t="shared" si="2"/>
        <v>150363.02589913603</v>
      </c>
      <c r="E10" s="19">
        <f t="shared" si="3"/>
        <v>4255.5573367680008</v>
      </c>
      <c r="F10" s="69">
        <v>0.03</v>
      </c>
      <c r="G10" s="69">
        <v>0.02</v>
      </c>
      <c r="H10" s="83">
        <v>0.01</v>
      </c>
      <c r="I10" s="93">
        <v>0.05</v>
      </c>
      <c r="J10" s="19">
        <f t="shared" si="4"/>
        <v>7092.5955612800017</v>
      </c>
    </row>
    <row r="11" spans="1:10" s="12" customFormat="1" x14ac:dyDescent="0.35">
      <c r="A11" s="84">
        <f>A10+1</f>
        <v>46183</v>
      </c>
      <c r="B11" s="19">
        <f t="shared" si="0"/>
        <v>9021.7815539481617</v>
      </c>
      <c r="C11" s="74">
        <f t="shared" si="1"/>
        <v>69384.807453084155</v>
      </c>
      <c r="D11" s="19">
        <f t="shared" si="2"/>
        <v>159384.80745308418</v>
      </c>
      <c r="E11" s="19">
        <f t="shared" si="3"/>
        <v>4510.8907769740808</v>
      </c>
      <c r="F11" s="69">
        <v>0.03</v>
      </c>
      <c r="G11" s="69">
        <v>0.02</v>
      </c>
      <c r="H11" s="83">
        <v>0.01</v>
      </c>
      <c r="I11" s="93">
        <v>0.05</v>
      </c>
      <c r="J11" s="19">
        <f t="shared" si="4"/>
        <v>7518.1512949568023</v>
      </c>
    </row>
    <row r="12" spans="1:10" s="12" customFormat="1" x14ac:dyDescent="0.35">
      <c r="A12" s="84">
        <f t="shared" ref="A12:A13" si="6">A11+1</f>
        <v>46184</v>
      </c>
      <c r="B12" s="19">
        <f t="shared" si="0"/>
        <v>9563.0884471850513</v>
      </c>
      <c r="C12" s="74">
        <f t="shared" si="1"/>
        <v>78947.895900269214</v>
      </c>
      <c r="D12" s="19">
        <f t="shared" si="2"/>
        <v>168947.89590026924</v>
      </c>
      <c r="E12" s="19">
        <f t="shared" si="3"/>
        <v>4781.5442235925257</v>
      </c>
      <c r="F12" s="69">
        <v>0.03</v>
      </c>
      <c r="G12" s="69">
        <v>0.02</v>
      </c>
      <c r="H12" s="83">
        <v>0.01</v>
      </c>
      <c r="I12" s="93">
        <v>0.05</v>
      </c>
      <c r="J12" s="19">
        <f t="shared" si="4"/>
        <v>7969.2403726542098</v>
      </c>
    </row>
    <row r="13" spans="1:10" s="12" customFormat="1" x14ac:dyDescent="0.35">
      <c r="A13" s="84">
        <f t="shared" si="6"/>
        <v>46185</v>
      </c>
      <c r="B13" s="19">
        <f t="shared" si="0"/>
        <v>10136.873754016155</v>
      </c>
      <c r="C13" s="74">
        <f t="shared" si="1"/>
        <v>89084.769654285366</v>
      </c>
      <c r="D13" s="19">
        <f t="shared" si="2"/>
        <v>179084.7696542854</v>
      </c>
      <c r="E13" s="19">
        <f t="shared" si="3"/>
        <v>5068.4368770080773</v>
      </c>
      <c r="F13" s="69">
        <v>0.03</v>
      </c>
      <c r="G13" s="69">
        <v>0.02</v>
      </c>
      <c r="H13" s="83">
        <v>0.01</v>
      </c>
      <c r="I13" s="93">
        <v>0.05</v>
      </c>
      <c r="J13" s="19">
        <f t="shared" si="4"/>
        <v>8447.3947950134625</v>
      </c>
    </row>
    <row r="14" spans="1:10" s="12" customFormat="1" x14ac:dyDescent="0.35">
      <c r="A14" s="84">
        <f>A13+3</f>
        <v>46188</v>
      </c>
      <c r="B14" s="19">
        <f t="shared" si="0"/>
        <v>10745.086179257123</v>
      </c>
      <c r="C14" s="74">
        <f t="shared" si="1"/>
        <v>99829.85583354249</v>
      </c>
      <c r="D14" s="19">
        <f t="shared" si="2"/>
        <v>189829.85583354253</v>
      </c>
      <c r="E14" s="19">
        <f t="shared" si="3"/>
        <v>5372.5430896285616</v>
      </c>
      <c r="F14" s="69">
        <v>0.03</v>
      </c>
      <c r="G14" s="69">
        <v>0.02</v>
      </c>
      <c r="H14" s="83">
        <v>0.01</v>
      </c>
      <c r="I14" s="93">
        <v>0.05</v>
      </c>
      <c r="J14" s="19">
        <f t="shared" si="4"/>
        <v>8954.2384827142705</v>
      </c>
    </row>
    <row r="15" spans="1:10" s="12" customFormat="1" x14ac:dyDescent="0.35">
      <c r="A15" s="84">
        <f>A14+1</f>
        <v>46189</v>
      </c>
      <c r="B15" s="19">
        <f t="shared" si="0"/>
        <v>11389.791350012552</v>
      </c>
      <c r="C15" s="74">
        <f t="shared" si="1"/>
        <v>111219.64718355505</v>
      </c>
      <c r="D15" s="19">
        <f t="shared" si="2"/>
        <v>201219.64718355509</v>
      </c>
      <c r="E15" s="19">
        <f t="shared" si="3"/>
        <v>5694.8956750062762</v>
      </c>
      <c r="F15" s="69">
        <v>0.03</v>
      </c>
      <c r="G15" s="69">
        <v>0.02</v>
      </c>
      <c r="H15" s="83">
        <v>0.01</v>
      </c>
      <c r="I15" s="93">
        <v>0.05</v>
      </c>
      <c r="J15" s="19">
        <f t="shared" si="4"/>
        <v>9491.4927916771267</v>
      </c>
    </row>
    <row r="16" spans="1:10" s="12" customFormat="1" x14ac:dyDescent="0.35">
      <c r="A16" s="84">
        <f>A15+1</f>
        <v>46190</v>
      </c>
      <c r="B16" s="19">
        <f t="shared" si="0"/>
        <v>12073.178831013305</v>
      </c>
      <c r="C16" s="74">
        <f t="shared" si="1"/>
        <v>123292.82601456836</v>
      </c>
      <c r="D16" s="19">
        <f t="shared" si="2"/>
        <v>213292.82601456839</v>
      </c>
      <c r="E16" s="19">
        <f t="shared" si="3"/>
        <v>6036.5894155066526</v>
      </c>
      <c r="F16" s="69">
        <v>0.03</v>
      </c>
      <c r="G16" s="69">
        <v>0.02</v>
      </c>
      <c r="H16" s="83">
        <v>0.01</v>
      </c>
      <c r="I16" s="93">
        <v>0.05</v>
      </c>
      <c r="J16" s="19">
        <f t="shared" si="4"/>
        <v>10060.982359177755</v>
      </c>
    </row>
    <row r="17" spans="1:10" s="12" customFormat="1" x14ac:dyDescent="0.35">
      <c r="A17" s="84">
        <f t="shared" ref="A17:A18" si="7">A16+1</f>
        <v>46191</v>
      </c>
      <c r="B17" s="19">
        <f t="shared" si="0"/>
        <v>12797.569560874103</v>
      </c>
      <c r="C17" s="74">
        <f t="shared" si="1"/>
        <v>136090.39557544247</v>
      </c>
      <c r="D17" s="19">
        <f>D16+B17</f>
        <v>226090.3955754425</v>
      </c>
      <c r="E17" s="19">
        <f t="shared" si="3"/>
        <v>6398.7847804370513</v>
      </c>
      <c r="F17" s="69">
        <v>0.03</v>
      </c>
      <c r="G17" s="69">
        <v>0.02</v>
      </c>
      <c r="H17" s="83">
        <v>0.01</v>
      </c>
      <c r="I17" s="93">
        <v>0.05</v>
      </c>
      <c r="J17" s="19">
        <f t="shared" si="4"/>
        <v>10664.641300728421</v>
      </c>
    </row>
    <row r="18" spans="1:10" x14ac:dyDescent="0.35">
      <c r="A18" s="84">
        <f t="shared" si="7"/>
        <v>46192</v>
      </c>
      <c r="B18" s="19">
        <f t="shared" si="0"/>
        <v>13565.42373452655</v>
      </c>
      <c r="C18" s="74">
        <f t="shared" si="1"/>
        <v>149655.81930996903</v>
      </c>
      <c r="D18" s="19">
        <f t="shared" si="2"/>
        <v>239655.81930996905</v>
      </c>
      <c r="E18" s="19">
        <f t="shared" si="3"/>
        <v>6782.7118672632751</v>
      </c>
      <c r="F18" s="69">
        <v>0.03</v>
      </c>
      <c r="G18" s="69">
        <v>0.02</v>
      </c>
      <c r="H18" s="83">
        <v>0.01</v>
      </c>
      <c r="I18" s="93">
        <v>0.05</v>
      </c>
      <c r="J18" s="19">
        <f t="shared" si="4"/>
        <v>11304.519778772126</v>
      </c>
    </row>
    <row r="19" spans="1:10" x14ac:dyDescent="0.35">
      <c r="A19" s="84">
        <f>A18+3</f>
        <v>46195</v>
      </c>
      <c r="B19" s="19">
        <f t="shared" si="0"/>
        <v>14379.349158598143</v>
      </c>
      <c r="C19" s="74">
        <f t="shared" si="1"/>
        <v>164035.16846856716</v>
      </c>
      <c r="D19" s="19">
        <f t="shared" si="2"/>
        <v>254035.16846856719</v>
      </c>
      <c r="E19" s="19">
        <f t="shared" si="3"/>
        <v>7189.6745792990714</v>
      </c>
      <c r="F19" s="69">
        <v>0.03</v>
      </c>
      <c r="G19" s="69">
        <v>0.02</v>
      </c>
      <c r="H19" s="83">
        <v>0.01</v>
      </c>
      <c r="I19" s="93">
        <v>0.05</v>
      </c>
      <c r="J19" s="19">
        <f t="shared" si="4"/>
        <v>11982.790965498454</v>
      </c>
    </row>
    <row r="20" spans="1:10" s="52" customFormat="1" x14ac:dyDescent="0.35">
      <c r="A20" s="84">
        <f>A19+1</f>
        <v>46196</v>
      </c>
      <c r="B20" s="19">
        <f t="shared" si="0"/>
        <v>15242.110108114031</v>
      </c>
      <c r="C20" s="74">
        <f t="shared" si="1"/>
        <v>179277.27857668119</v>
      </c>
      <c r="D20" s="19">
        <f t="shared" si="2"/>
        <v>269277.27857668122</v>
      </c>
      <c r="E20" s="19">
        <f t="shared" si="3"/>
        <v>7621.0550540570157</v>
      </c>
      <c r="F20" s="69">
        <v>0.03</v>
      </c>
      <c r="G20" s="69">
        <v>0.02</v>
      </c>
      <c r="H20" s="83">
        <v>0.01</v>
      </c>
      <c r="I20" s="93">
        <v>0.05</v>
      </c>
      <c r="J20" s="19">
        <f t="shared" si="4"/>
        <v>12701.75842342836</v>
      </c>
    </row>
    <row r="21" spans="1:10" x14ac:dyDescent="0.35">
      <c r="A21" s="84">
        <f>A20+1</f>
        <v>46197</v>
      </c>
      <c r="B21" s="19">
        <f t="shared" si="0"/>
        <v>16156.636714600872</v>
      </c>
      <c r="C21" s="74">
        <f t="shared" si="1"/>
        <v>195433.91529128206</v>
      </c>
      <c r="D21" s="19">
        <f t="shared" si="2"/>
        <v>285433.91529128212</v>
      </c>
      <c r="E21" s="19">
        <f t="shared" si="3"/>
        <v>8078.3183573004362</v>
      </c>
      <c r="F21" s="69">
        <v>0.03</v>
      </c>
      <c r="G21" s="69">
        <v>0.02</v>
      </c>
      <c r="H21" s="83">
        <v>0.01</v>
      </c>
      <c r="I21" s="93">
        <v>0.05</v>
      </c>
      <c r="J21" s="19">
        <f t="shared" si="4"/>
        <v>13463.863928834062</v>
      </c>
    </row>
    <row r="22" spans="1:10" x14ac:dyDescent="0.35">
      <c r="A22" s="84">
        <f t="shared" ref="A22:A23" si="8">A21+1</f>
        <v>46198</v>
      </c>
      <c r="B22" s="19">
        <f t="shared" si="0"/>
        <v>17126.034917476925</v>
      </c>
      <c r="C22" s="74">
        <f t="shared" si="1"/>
        <v>212559.95020875899</v>
      </c>
      <c r="D22" s="19">
        <f t="shared" si="2"/>
        <v>302559.95020875905</v>
      </c>
      <c r="E22" s="19">
        <f t="shared" si="3"/>
        <v>8563.0174587384627</v>
      </c>
      <c r="F22" s="69">
        <v>0.03</v>
      </c>
      <c r="G22" s="69">
        <v>0.02</v>
      </c>
      <c r="H22" s="83">
        <v>0.01</v>
      </c>
      <c r="I22" s="93">
        <v>0.05</v>
      </c>
      <c r="J22" s="19">
        <f t="shared" si="4"/>
        <v>14271.695764564107</v>
      </c>
    </row>
    <row r="23" spans="1:10" x14ac:dyDescent="0.35">
      <c r="A23" s="84">
        <f t="shared" si="8"/>
        <v>46199</v>
      </c>
      <c r="B23" s="19">
        <f t="shared" si="0"/>
        <v>18153.597012525541</v>
      </c>
      <c r="C23" s="74">
        <f t="shared" si="1"/>
        <v>230713.54722128453</v>
      </c>
      <c r="D23" s="19">
        <f t="shared" si="2"/>
        <v>320713.54722128459</v>
      </c>
      <c r="E23" s="19">
        <f t="shared" si="3"/>
        <v>9076.7985062627704</v>
      </c>
      <c r="F23" s="69">
        <v>0.03</v>
      </c>
      <c r="G23" s="69">
        <v>0.02</v>
      </c>
      <c r="H23" s="83">
        <v>0.01</v>
      </c>
      <c r="I23" s="93">
        <v>0.05</v>
      </c>
      <c r="J23" s="19">
        <f t="shared" si="4"/>
        <v>15127.997510437954</v>
      </c>
    </row>
    <row r="24" spans="1:10" x14ac:dyDescent="0.35">
      <c r="A24" s="84">
        <f>A23+3</f>
        <v>46202</v>
      </c>
      <c r="B24" s="19">
        <f t="shared" si="0"/>
        <v>19242.812833277076</v>
      </c>
      <c r="C24" s="74">
        <f t="shared" si="1"/>
        <v>249956.36005456161</v>
      </c>
      <c r="D24" s="19">
        <f t="shared" si="2"/>
        <v>339956.36005456169</v>
      </c>
      <c r="E24" s="19">
        <f t="shared" si="3"/>
        <v>9621.4064166385378</v>
      </c>
      <c r="F24" s="69">
        <v>0.03</v>
      </c>
      <c r="G24" s="69">
        <v>0.02</v>
      </c>
      <c r="H24" s="83">
        <v>0.01</v>
      </c>
      <c r="I24" s="93">
        <v>0.05</v>
      </c>
      <c r="J24" s="19">
        <f t="shared" si="4"/>
        <v>16035.67736106423</v>
      </c>
    </row>
    <row r="25" spans="1:10" x14ac:dyDescent="0.35">
      <c r="A25" s="84">
        <f>A24+1</f>
        <v>46203</v>
      </c>
      <c r="B25" s="19">
        <f t="shared" si="0"/>
        <v>20397.381603273701</v>
      </c>
      <c r="C25" s="74">
        <f t="shared" si="1"/>
        <v>270353.74165783531</v>
      </c>
      <c r="D25" s="19">
        <f t="shared" si="2"/>
        <v>360353.74165783537</v>
      </c>
      <c r="E25" s="19">
        <f t="shared" si="3"/>
        <v>10198.690801636851</v>
      </c>
      <c r="F25" s="69">
        <v>0.03</v>
      </c>
      <c r="G25" s="69">
        <v>0.02</v>
      </c>
      <c r="H25" s="83">
        <v>0.01</v>
      </c>
      <c r="I25" s="93">
        <v>0.05</v>
      </c>
      <c r="J25" s="19">
        <f t="shared" si="4"/>
        <v>16997.818002728087</v>
      </c>
    </row>
    <row r="26" spans="1:10" x14ac:dyDescent="0.35">
      <c r="C26" s="79"/>
      <c r="D26" s="19"/>
      <c r="E26" s="19"/>
    </row>
    <row r="27" spans="1:10" x14ac:dyDescent="0.35">
      <c r="C27" s="79"/>
      <c r="D27" s="19"/>
      <c r="E27" s="19"/>
    </row>
    <row r="28" spans="1:10" x14ac:dyDescent="0.35">
      <c r="C28" s="79"/>
      <c r="D28" s="19"/>
      <c r="E28" s="19"/>
    </row>
    <row r="29" spans="1:10" x14ac:dyDescent="0.35">
      <c r="C29" s="79"/>
      <c r="D29" s="19"/>
      <c r="E29" s="19"/>
    </row>
    <row r="30" spans="1:10" x14ac:dyDescent="0.35">
      <c r="C30" s="79"/>
      <c r="D30" s="19"/>
      <c r="E30" s="19"/>
    </row>
    <row r="31" spans="1:10" x14ac:dyDescent="0.35">
      <c r="C31" s="79"/>
      <c r="D31" s="19"/>
      <c r="E31" s="19"/>
    </row>
    <row r="32" spans="1:10" x14ac:dyDescent="0.35">
      <c r="C32" s="79"/>
      <c r="D32" s="19"/>
      <c r="E32" s="19"/>
    </row>
    <row r="33" spans="3:5" x14ac:dyDescent="0.35">
      <c r="C33" s="79"/>
      <c r="D33" s="19"/>
      <c r="E33" s="19"/>
    </row>
    <row r="34" spans="3:5" x14ac:dyDescent="0.35">
      <c r="C34" s="79"/>
      <c r="D34" s="19"/>
      <c r="E34" s="19"/>
    </row>
    <row r="35" spans="3:5" x14ac:dyDescent="0.35">
      <c r="C35" s="79"/>
      <c r="D35" s="19"/>
      <c r="E35" s="19"/>
    </row>
    <row r="36" spans="3:5" x14ac:dyDescent="0.35">
      <c r="C36" s="79"/>
      <c r="D36" s="19"/>
      <c r="E36" s="19"/>
    </row>
    <row r="37" spans="3:5" x14ac:dyDescent="0.35">
      <c r="C37" s="79"/>
      <c r="D37" s="19"/>
      <c r="E37" s="19"/>
    </row>
    <row r="38" spans="3:5" x14ac:dyDescent="0.35">
      <c r="C38" s="79"/>
      <c r="D38" s="19"/>
      <c r="E38" s="19"/>
    </row>
    <row r="39" spans="3:5" x14ac:dyDescent="0.35">
      <c r="C39" s="79"/>
      <c r="D39" s="19"/>
      <c r="E39" s="19"/>
    </row>
    <row r="40" spans="3:5" x14ac:dyDescent="0.35">
      <c r="C40" s="79"/>
      <c r="D40" s="19"/>
      <c r="E40" s="19"/>
    </row>
    <row r="41" spans="3:5" x14ac:dyDescent="0.35">
      <c r="C41" s="79"/>
      <c r="D41" s="19"/>
      <c r="E41" s="19"/>
    </row>
    <row r="42" spans="3:5" x14ac:dyDescent="0.35">
      <c r="C42" s="79"/>
      <c r="D42" s="19"/>
      <c r="E42" s="19"/>
    </row>
    <row r="43" spans="3:5" x14ac:dyDescent="0.35">
      <c r="C43" s="79"/>
      <c r="D43" s="19"/>
      <c r="E43" s="19"/>
    </row>
    <row r="44" spans="3:5" x14ac:dyDescent="0.35">
      <c r="C44" s="79"/>
      <c r="D44" s="19"/>
      <c r="E44" s="19"/>
    </row>
    <row r="45" spans="3:5" x14ac:dyDescent="0.35">
      <c r="C45" s="79"/>
      <c r="D45" s="19"/>
      <c r="E45" s="19"/>
    </row>
    <row r="46" spans="3:5" x14ac:dyDescent="0.35">
      <c r="C46" s="79"/>
      <c r="D46" s="19"/>
      <c r="E46" s="19"/>
    </row>
    <row r="47" spans="3:5" x14ac:dyDescent="0.35">
      <c r="C47" s="79"/>
      <c r="D47" s="19"/>
      <c r="E47" s="19"/>
    </row>
    <row r="48" spans="3:5" x14ac:dyDescent="0.35">
      <c r="C48" s="79"/>
      <c r="D48" s="19"/>
      <c r="E48" s="19"/>
    </row>
    <row r="49" spans="3:5" x14ac:dyDescent="0.35">
      <c r="C49" s="79"/>
      <c r="D49" s="19"/>
      <c r="E49" s="19"/>
    </row>
    <row r="50" spans="3:5" x14ac:dyDescent="0.35">
      <c r="C50" s="79"/>
      <c r="D50" s="19"/>
      <c r="E50" s="19"/>
    </row>
    <row r="51" spans="3:5" x14ac:dyDescent="0.35">
      <c r="C51" s="79"/>
      <c r="D51" s="19"/>
      <c r="E51" s="19"/>
    </row>
    <row r="52" spans="3:5" x14ac:dyDescent="0.35">
      <c r="C52" s="79"/>
      <c r="D52" s="19"/>
      <c r="E52" s="19"/>
    </row>
    <row r="53" spans="3:5" x14ac:dyDescent="0.35">
      <c r="C53" s="79"/>
      <c r="D53" s="19"/>
      <c r="E53" s="19"/>
    </row>
    <row r="54" spans="3:5" x14ac:dyDescent="0.35">
      <c r="C54" s="79"/>
      <c r="D54" s="19"/>
      <c r="E54" s="19"/>
    </row>
    <row r="55" spans="3:5" x14ac:dyDescent="0.35">
      <c r="C55" s="79"/>
      <c r="D55" s="19"/>
      <c r="E55" s="19"/>
    </row>
    <row r="56" spans="3:5" x14ac:dyDescent="0.35">
      <c r="C56" s="79"/>
      <c r="D56" s="19"/>
      <c r="E56" s="19"/>
    </row>
    <row r="57" spans="3:5" x14ac:dyDescent="0.35">
      <c r="C57" s="79"/>
      <c r="D57" s="19"/>
      <c r="E57" s="19"/>
    </row>
    <row r="58" spans="3:5" x14ac:dyDescent="0.35">
      <c r="C58" s="79"/>
      <c r="D58" s="19"/>
      <c r="E58" s="19"/>
    </row>
    <row r="59" spans="3:5" x14ac:dyDescent="0.35">
      <c r="C59" s="79"/>
      <c r="D59" s="19"/>
      <c r="E59" s="19"/>
    </row>
    <row r="60" spans="3:5" x14ac:dyDescent="0.35">
      <c r="C60" s="79"/>
      <c r="D60" s="19"/>
      <c r="E60" s="19"/>
    </row>
    <row r="61" spans="3:5" x14ac:dyDescent="0.35">
      <c r="C61" s="79"/>
      <c r="D61" s="19"/>
      <c r="E61" s="19"/>
    </row>
    <row r="62" spans="3:5" x14ac:dyDescent="0.35">
      <c r="C62" s="79"/>
      <c r="D62" s="19"/>
      <c r="E62" s="19"/>
    </row>
    <row r="63" spans="3:5" x14ac:dyDescent="0.35">
      <c r="C63" s="79"/>
      <c r="D63" s="19"/>
      <c r="E63" s="19"/>
    </row>
    <row r="64" spans="3:5" x14ac:dyDescent="0.35">
      <c r="C64" s="79"/>
      <c r="D64" s="19"/>
      <c r="E64" s="19"/>
    </row>
    <row r="65" spans="3:5" x14ac:dyDescent="0.35">
      <c r="C65" s="79"/>
      <c r="D65" s="19"/>
      <c r="E65" s="19"/>
    </row>
    <row r="66" spans="3:5" x14ac:dyDescent="0.35">
      <c r="C66" s="79"/>
      <c r="D66" s="19"/>
      <c r="E66" s="19"/>
    </row>
    <row r="67" spans="3:5" x14ac:dyDescent="0.35">
      <c r="C67" s="79"/>
      <c r="D67" s="19"/>
      <c r="E67" s="19"/>
    </row>
    <row r="68" spans="3:5" x14ac:dyDescent="0.35">
      <c r="C68" s="79"/>
      <c r="D68" s="19"/>
      <c r="E68" s="19"/>
    </row>
    <row r="69" spans="3:5" x14ac:dyDescent="0.35">
      <c r="C69" s="79"/>
      <c r="D69" s="19"/>
      <c r="E69" s="19"/>
    </row>
    <row r="70" spans="3:5" x14ac:dyDescent="0.35">
      <c r="C70" s="79"/>
      <c r="D70" s="19"/>
      <c r="E70" s="19"/>
    </row>
    <row r="71" spans="3:5" x14ac:dyDescent="0.35">
      <c r="C71" s="79"/>
      <c r="D71" s="19"/>
      <c r="E71" s="19"/>
    </row>
    <row r="72" spans="3:5" x14ac:dyDescent="0.35">
      <c r="C72" s="79"/>
      <c r="D72" s="19"/>
      <c r="E72" s="19"/>
    </row>
    <row r="73" spans="3:5" x14ac:dyDescent="0.35">
      <c r="C73" s="79"/>
      <c r="D73" s="19"/>
      <c r="E73" s="19"/>
    </row>
    <row r="74" spans="3:5" x14ac:dyDescent="0.35">
      <c r="C74" s="79"/>
      <c r="D74" s="19"/>
      <c r="E74" s="19"/>
    </row>
    <row r="75" spans="3:5" x14ac:dyDescent="0.35">
      <c r="C75" s="79"/>
      <c r="D75" s="19"/>
      <c r="E75" s="19"/>
    </row>
    <row r="76" spans="3:5" x14ac:dyDescent="0.35">
      <c r="C76" s="79"/>
      <c r="D76" s="19"/>
      <c r="E76" s="19"/>
    </row>
    <row r="77" spans="3:5" x14ac:dyDescent="0.35">
      <c r="C77" s="79"/>
      <c r="D77" s="19"/>
      <c r="E77" s="19"/>
    </row>
    <row r="78" spans="3:5" x14ac:dyDescent="0.35">
      <c r="C78" s="79"/>
      <c r="D78" s="19"/>
      <c r="E78" s="19"/>
    </row>
    <row r="79" spans="3:5" x14ac:dyDescent="0.35">
      <c r="C79" s="79"/>
      <c r="D79" s="19"/>
      <c r="E79" s="19"/>
    </row>
    <row r="80" spans="3:5" x14ac:dyDescent="0.35">
      <c r="C80" s="79"/>
      <c r="D80" s="19"/>
      <c r="E80" s="19"/>
    </row>
    <row r="81" spans="3:5" x14ac:dyDescent="0.35">
      <c r="C81" s="79"/>
      <c r="D81" s="19"/>
      <c r="E81" s="19"/>
    </row>
    <row r="82" spans="3:5" x14ac:dyDescent="0.35">
      <c r="C82" s="79"/>
      <c r="D82" s="19"/>
      <c r="E82" s="19"/>
    </row>
    <row r="83" spans="3:5" x14ac:dyDescent="0.35">
      <c r="C83" s="79"/>
      <c r="D83" s="19"/>
      <c r="E83" s="19"/>
    </row>
    <row r="84" spans="3:5" x14ac:dyDescent="0.35">
      <c r="C84" s="79"/>
      <c r="D84" s="19"/>
      <c r="E84" s="19"/>
    </row>
    <row r="85" spans="3:5" x14ac:dyDescent="0.35">
      <c r="C85" s="79"/>
      <c r="D85" s="19"/>
      <c r="E85" s="19"/>
    </row>
    <row r="86" spans="3:5" x14ac:dyDescent="0.35">
      <c r="C86" s="79"/>
      <c r="D86" s="19"/>
      <c r="E86" s="19"/>
    </row>
    <row r="87" spans="3:5" x14ac:dyDescent="0.35">
      <c r="C87" s="79"/>
      <c r="D87" s="19"/>
      <c r="E87" s="19"/>
    </row>
    <row r="88" spans="3:5" x14ac:dyDescent="0.35">
      <c r="C88" s="79"/>
      <c r="D88" s="19"/>
      <c r="E88" s="19"/>
    </row>
    <row r="89" spans="3:5" x14ac:dyDescent="0.35">
      <c r="C89" s="79"/>
      <c r="D89" s="19"/>
      <c r="E89" s="19"/>
    </row>
    <row r="90" spans="3:5" x14ac:dyDescent="0.35">
      <c r="C90" s="79"/>
      <c r="D90" s="19"/>
      <c r="E90" s="19"/>
    </row>
    <row r="91" spans="3:5" x14ac:dyDescent="0.35">
      <c r="C91" s="79"/>
      <c r="D91" s="19"/>
      <c r="E91" s="19"/>
    </row>
    <row r="92" spans="3:5" x14ac:dyDescent="0.35">
      <c r="C92" s="79"/>
      <c r="D92" s="19"/>
      <c r="E92" s="19"/>
    </row>
    <row r="93" spans="3:5" x14ac:dyDescent="0.35">
      <c r="C93" s="79"/>
      <c r="D93" s="19"/>
      <c r="E93" s="19"/>
    </row>
    <row r="94" spans="3:5" x14ac:dyDescent="0.35">
      <c r="C94" s="79"/>
      <c r="D94" s="19"/>
      <c r="E94" s="19"/>
    </row>
    <row r="95" spans="3:5" x14ac:dyDescent="0.35">
      <c r="C95" s="79"/>
      <c r="D95" s="19"/>
      <c r="E95" s="19"/>
    </row>
    <row r="96" spans="3:5" x14ac:dyDescent="0.35">
      <c r="C96" s="79"/>
      <c r="D96" s="19"/>
      <c r="E96" s="19"/>
    </row>
    <row r="97" spans="3:5" x14ac:dyDescent="0.35">
      <c r="C97" s="79"/>
      <c r="D97" s="19"/>
      <c r="E97" s="19"/>
    </row>
    <row r="98" spans="3:5" x14ac:dyDescent="0.35">
      <c r="C98" s="79"/>
      <c r="D98" s="19"/>
      <c r="E98" s="19"/>
    </row>
    <row r="99" spans="3:5" x14ac:dyDescent="0.35">
      <c r="C99" s="79"/>
      <c r="D99" s="19"/>
      <c r="E99" s="19"/>
    </row>
    <row r="100" spans="3:5" x14ac:dyDescent="0.35">
      <c r="C100" s="79"/>
      <c r="D100" s="19"/>
      <c r="E100" s="19"/>
    </row>
    <row r="101" spans="3:5" x14ac:dyDescent="0.35">
      <c r="C101" s="79"/>
      <c r="D101" s="19"/>
      <c r="E101" s="19"/>
    </row>
    <row r="102" spans="3:5" x14ac:dyDescent="0.35">
      <c r="C102" s="79"/>
      <c r="D102" s="19"/>
      <c r="E102" s="19"/>
    </row>
    <row r="103" spans="3:5" x14ac:dyDescent="0.35">
      <c r="C103" s="79"/>
      <c r="D103" s="19"/>
      <c r="E103" s="19"/>
    </row>
    <row r="104" spans="3:5" x14ac:dyDescent="0.35">
      <c r="C104" s="79"/>
      <c r="D104" s="19"/>
      <c r="E104" s="19"/>
    </row>
    <row r="105" spans="3:5" x14ac:dyDescent="0.35">
      <c r="C105" s="79"/>
      <c r="D105" s="19"/>
      <c r="E105" s="19"/>
    </row>
    <row r="106" spans="3:5" x14ac:dyDescent="0.35">
      <c r="C106" s="79"/>
      <c r="D106" s="19"/>
      <c r="E106" s="19"/>
    </row>
    <row r="107" spans="3:5" x14ac:dyDescent="0.35">
      <c r="C107" s="79"/>
      <c r="D107" s="19"/>
      <c r="E107" s="19"/>
    </row>
    <row r="108" spans="3:5" x14ac:dyDescent="0.35">
      <c r="C108" s="79"/>
      <c r="D108" s="19"/>
      <c r="E108" s="19"/>
    </row>
    <row r="109" spans="3:5" x14ac:dyDescent="0.35">
      <c r="C109" s="79"/>
      <c r="D109" s="19"/>
      <c r="E109" s="19"/>
    </row>
    <row r="110" spans="3:5" x14ac:dyDescent="0.35">
      <c r="C110" s="79"/>
      <c r="D110" s="19"/>
      <c r="E110" s="19"/>
    </row>
    <row r="111" spans="3:5" x14ac:dyDescent="0.35">
      <c r="C111" s="79"/>
      <c r="D111" s="19"/>
      <c r="E111" s="19"/>
    </row>
    <row r="112" spans="3:5" x14ac:dyDescent="0.35">
      <c r="C112" s="79"/>
      <c r="D112" s="19"/>
      <c r="E112" s="19"/>
    </row>
    <row r="113" spans="3:5" x14ac:dyDescent="0.35">
      <c r="C113" s="79"/>
      <c r="D113" s="19"/>
      <c r="E113" s="19"/>
    </row>
    <row r="114" spans="3:5" x14ac:dyDescent="0.35">
      <c r="C114" s="79"/>
      <c r="D114" s="19"/>
      <c r="E114" s="19"/>
    </row>
    <row r="115" spans="3:5" x14ac:dyDescent="0.35">
      <c r="C115" s="79"/>
      <c r="D115" s="19"/>
      <c r="E115" s="19"/>
    </row>
    <row r="116" spans="3:5" x14ac:dyDescent="0.35">
      <c r="C116" s="79"/>
      <c r="D116" s="19"/>
      <c r="E116" s="19"/>
    </row>
    <row r="117" spans="3:5" x14ac:dyDescent="0.35">
      <c r="C117" s="79"/>
      <c r="D117" s="19"/>
      <c r="E117" s="19"/>
    </row>
    <row r="118" spans="3:5" x14ac:dyDescent="0.35">
      <c r="C118" s="79"/>
      <c r="D118" s="19"/>
      <c r="E118" s="19"/>
    </row>
    <row r="119" spans="3:5" x14ac:dyDescent="0.35">
      <c r="C119" s="79"/>
      <c r="D119" s="19"/>
      <c r="E119" s="19"/>
    </row>
    <row r="120" spans="3:5" x14ac:dyDescent="0.35">
      <c r="C120" s="79"/>
      <c r="D120" s="19"/>
      <c r="E120" s="19"/>
    </row>
    <row r="121" spans="3:5" x14ac:dyDescent="0.35">
      <c r="C121" s="79"/>
      <c r="D121" s="19"/>
      <c r="E121" s="19"/>
    </row>
    <row r="122" spans="3:5" x14ac:dyDescent="0.35">
      <c r="C122" s="79"/>
      <c r="D122" s="19"/>
      <c r="E122" s="19"/>
    </row>
    <row r="123" spans="3:5" x14ac:dyDescent="0.35">
      <c r="C123" s="79"/>
      <c r="D123" s="19"/>
      <c r="E123" s="19"/>
    </row>
    <row r="124" spans="3:5" x14ac:dyDescent="0.35">
      <c r="C124" s="79"/>
      <c r="D124" s="19"/>
      <c r="E124" s="19"/>
    </row>
    <row r="125" spans="3:5" x14ac:dyDescent="0.35">
      <c r="C125" s="79"/>
      <c r="D125" s="19"/>
      <c r="E125" s="19"/>
    </row>
    <row r="126" spans="3:5" x14ac:dyDescent="0.35">
      <c r="C126" s="79"/>
      <c r="D126" s="19"/>
      <c r="E126" s="19"/>
    </row>
    <row r="127" spans="3:5" x14ac:dyDescent="0.35">
      <c r="C127" s="79"/>
      <c r="D127" s="19"/>
      <c r="E127" s="19"/>
    </row>
    <row r="128" spans="3:5" x14ac:dyDescent="0.35">
      <c r="C128" s="79"/>
      <c r="D128" s="19"/>
      <c r="E128" s="19"/>
    </row>
    <row r="129" spans="3:5" x14ac:dyDescent="0.35">
      <c r="C129" s="79"/>
      <c r="D129" s="19"/>
      <c r="E129" s="19"/>
    </row>
    <row r="130" spans="3:5" x14ac:dyDescent="0.35">
      <c r="C130" s="79"/>
      <c r="D130" s="19"/>
      <c r="E130" s="19"/>
    </row>
    <row r="131" spans="3:5" x14ac:dyDescent="0.35">
      <c r="C131" s="79"/>
      <c r="D131" s="19"/>
      <c r="E131" s="19"/>
    </row>
    <row r="132" spans="3:5" x14ac:dyDescent="0.35">
      <c r="C132" s="79"/>
      <c r="D132" s="19"/>
      <c r="E132" s="19"/>
    </row>
    <row r="133" spans="3:5" x14ac:dyDescent="0.35">
      <c r="C133" s="79"/>
      <c r="D133" s="19"/>
      <c r="E133" s="19"/>
    </row>
    <row r="134" spans="3:5" x14ac:dyDescent="0.35">
      <c r="C134" s="79"/>
      <c r="D134" s="19"/>
      <c r="E134" s="19"/>
    </row>
    <row r="135" spans="3:5" x14ac:dyDescent="0.35">
      <c r="C135" s="79"/>
      <c r="D135" s="19"/>
      <c r="E135" s="19"/>
    </row>
    <row r="136" spans="3:5" x14ac:dyDescent="0.35">
      <c r="C136" s="79"/>
      <c r="D136" s="19"/>
      <c r="E136" s="19"/>
    </row>
    <row r="137" spans="3:5" x14ac:dyDescent="0.35">
      <c r="C137" s="79"/>
      <c r="D137" s="19"/>
      <c r="E137" s="19"/>
    </row>
    <row r="138" spans="3:5" x14ac:dyDescent="0.35">
      <c r="C138" s="79"/>
      <c r="D138" s="19"/>
      <c r="E138" s="19"/>
    </row>
    <row r="139" spans="3:5" x14ac:dyDescent="0.35">
      <c r="C139" s="79"/>
      <c r="D139" s="19"/>
      <c r="E139" s="19"/>
    </row>
    <row r="140" spans="3:5" x14ac:dyDescent="0.35">
      <c r="C140" s="79"/>
      <c r="D140" s="19"/>
      <c r="E140" s="19"/>
    </row>
    <row r="141" spans="3:5" x14ac:dyDescent="0.35">
      <c r="C141" s="79"/>
      <c r="D141" s="19"/>
      <c r="E141" s="19"/>
    </row>
  </sheetData>
  <mergeCells count="2">
    <mergeCell ref="F2:H2"/>
    <mergeCell ref="A1:H1"/>
  </mergeCells>
  <conditionalFormatting sqref="C4">
    <cfRule type="cellIs" dxfId="13" priority="8" operator="between">
      <formula>7500</formula>
      <formula>9999</formula>
    </cfRule>
    <cfRule type="cellIs" dxfId="12" priority="9" operator="greaterThanOrEqual">
      <formula>10000</formula>
    </cfRule>
    <cfRule type="cellIs" dxfId="11" priority="10" operator="lessThan">
      <formula>7500</formula>
    </cfRule>
  </conditionalFormatting>
  <conditionalFormatting sqref="C5:C25">
    <cfRule type="cellIs" dxfId="10" priority="5" operator="between">
      <formula>750</formula>
      <formula>999</formula>
    </cfRule>
    <cfRule type="cellIs" dxfId="9" priority="6" operator="greaterThanOrEqual">
      <formula>1000</formula>
    </cfRule>
    <cfRule type="cellIs" dxfId="8" priority="7" operator="lessThan">
      <formula>750</formula>
    </cfRule>
  </conditionalFormatting>
  <conditionalFormatting sqref="E4">
    <cfRule type="cellIs" dxfId="7" priority="4" operator="greaterThan">
      <formula>$J4</formula>
    </cfRule>
  </conditionalFormatting>
  <conditionalFormatting sqref="E5:E25">
    <cfRule type="cellIs" dxfId="5" priority="1" operator="greaterThan">
      <formula>$J5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A16" zoomScale="110" zoomScaleNormal="110" workbookViewId="0">
      <selection activeCell="U3" sqref="U3"/>
    </sheetView>
  </sheetViews>
  <sheetFormatPr defaultRowHeight="14.5" outlineLevelCol="1" x14ac:dyDescent="0.35"/>
  <cols>
    <col min="1" max="1" width="23.54296875" bestFit="1" customWidth="1"/>
    <col min="2" max="2" width="6.54296875" bestFit="1" customWidth="1"/>
    <col min="3" max="3" width="15.54296875" bestFit="1" customWidth="1"/>
    <col min="4" max="4" width="15.54296875" style="59" bestFit="1" customWidth="1"/>
    <col min="5" max="5" width="10.26953125" bestFit="1" customWidth="1"/>
    <col min="6" max="6" width="14.08984375" bestFit="1" customWidth="1"/>
    <col min="7" max="7" width="11.54296875" bestFit="1" customWidth="1"/>
    <col min="8" max="8" width="4.90625" customWidth="1"/>
    <col min="9" max="9" width="14.6328125" bestFit="1" customWidth="1"/>
    <col min="10" max="10" width="9.81640625" bestFit="1" customWidth="1"/>
    <col min="11" max="11" width="18.08984375" style="59" hidden="1" customWidth="1" outlineLevel="1"/>
    <col min="12" max="12" width="9.81640625" bestFit="1" customWidth="1" collapsed="1"/>
    <col min="13" max="13" width="9.81640625" bestFit="1" customWidth="1"/>
    <col min="14" max="14" width="9.90625" bestFit="1" customWidth="1"/>
    <col min="15" max="15" width="9.81640625" bestFit="1" customWidth="1"/>
    <col min="16" max="16" width="9.54296875" bestFit="1" customWidth="1"/>
    <col min="17" max="17" width="9.81640625" bestFit="1" customWidth="1"/>
    <col min="18" max="18" width="10.1796875" bestFit="1" customWidth="1"/>
    <col min="19" max="19" width="9.90625" bestFit="1" customWidth="1"/>
    <col min="20" max="20" width="10.453125" bestFit="1" customWidth="1"/>
    <col min="21" max="22" width="9.81640625" bestFit="1" customWidth="1"/>
    <col min="23" max="24" width="10.81640625" bestFit="1" customWidth="1"/>
    <col min="25" max="25" width="13.08984375" bestFit="1" customWidth="1"/>
  </cols>
  <sheetData>
    <row r="1" spans="1:26" x14ac:dyDescent="0.35">
      <c r="A1" t="s">
        <v>145</v>
      </c>
      <c r="B1" t="s">
        <v>136</v>
      </c>
      <c r="C1" t="s">
        <v>139</v>
      </c>
      <c r="D1" s="59" t="s">
        <v>140</v>
      </c>
      <c r="E1" t="s">
        <v>141</v>
      </c>
      <c r="F1" t="s">
        <v>142</v>
      </c>
      <c r="G1" t="s">
        <v>143</v>
      </c>
      <c r="I1" t="s">
        <v>153</v>
      </c>
      <c r="J1" t="s">
        <v>152</v>
      </c>
      <c r="K1" s="65" t="s">
        <v>175</v>
      </c>
      <c r="L1" s="59" t="s">
        <v>157</v>
      </c>
      <c r="M1" t="s">
        <v>159</v>
      </c>
      <c r="N1" s="59" t="s">
        <v>160</v>
      </c>
      <c r="O1" s="59" t="s">
        <v>161</v>
      </c>
      <c r="P1" s="59" t="s">
        <v>162</v>
      </c>
      <c r="Q1" s="59" t="s">
        <v>138</v>
      </c>
      <c r="R1" t="s">
        <v>63</v>
      </c>
      <c r="T1" s="75" t="s">
        <v>182</v>
      </c>
      <c r="U1" s="75"/>
    </row>
    <row r="2" spans="1:26" x14ac:dyDescent="0.35">
      <c r="A2" t="s">
        <v>137</v>
      </c>
      <c r="B2" s="61">
        <v>46357</v>
      </c>
      <c r="C2" s="63">
        <f>30000*12</f>
        <v>360000</v>
      </c>
      <c r="D2" s="62">
        <f>C2/130</f>
        <v>2769.2307692307691</v>
      </c>
      <c r="E2">
        <v>7</v>
      </c>
      <c r="F2" s="64">
        <f>D2/7*1.2</f>
        <v>474.72527472527463</v>
      </c>
      <c r="G2" s="64">
        <f>F2/20</f>
        <v>23.73626373626373</v>
      </c>
      <c r="I2" t="s">
        <v>154</v>
      </c>
      <c r="J2" s="62">
        <v>10000</v>
      </c>
      <c r="K2" s="62" t="s">
        <v>177</v>
      </c>
      <c r="L2" s="62">
        <f>J2+10000</f>
        <v>20000</v>
      </c>
      <c r="M2" s="62">
        <f>L2+10000</f>
        <v>30000</v>
      </c>
      <c r="N2" s="62">
        <f t="shared" ref="N2:Q2" si="0">M2+10000</f>
        <v>40000</v>
      </c>
      <c r="O2" s="62">
        <f t="shared" si="0"/>
        <v>50000</v>
      </c>
      <c r="P2" s="62">
        <f t="shared" si="0"/>
        <v>60000</v>
      </c>
      <c r="Q2" s="62">
        <f t="shared" si="0"/>
        <v>70000</v>
      </c>
      <c r="R2" s="62">
        <f>Q2</f>
        <v>70000</v>
      </c>
      <c r="T2" s="76">
        <v>46387</v>
      </c>
      <c r="U2" s="77">
        <f ca="1">T2-TODAY()</f>
        <v>216</v>
      </c>
    </row>
    <row r="3" spans="1:26" x14ac:dyDescent="0.35">
      <c r="A3" t="s">
        <v>144</v>
      </c>
      <c r="B3" s="61">
        <v>46357</v>
      </c>
      <c r="C3" s="63">
        <f>50000*12</f>
        <v>600000</v>
      </c>
      <c r="D3" s="62">
        <f>C3/130</f>
        <v>4615.3846153846152</v>
      </c>
      <c r="E3">
        <v>7</v>
      </c>
      <c r="F3" s="64">
        <f>D3/7*1.2</f>
        <v>791.20879120879113</v>
      </c>
      <c r="G3" s="64">
        <f>F3/20</f>
        <v>39.560439560439555</v>
      </c>
      <c r="I3" t="s">
        <v>155</v>
      </c>
      <c r="J3" s="64">
        <f>F2</f>
        <v>474.72527472527463</v>
      </c>
      <c r="K3" s="65" t="s">
        <v>176</v>
      </c>
      <c r="L3" s="64">
        <f>L2*J5</f>
        <v>949.45054945054926</v>
      </c>
      <c r="M3" s="64">
        <f>M2*L5</f>
        <v>1424.1758241758239</v>
      </c>
      <c r="N3" s="64">
        <f t="shared" ref="N3:P3" si="1">N2*M5</f>
        <v>1898.9010989010985</v>
      </c>
      <c r="O3" s="64">
        <f t="shared" si="1"/>
        <v>2373.6263736263732</v>
      </c>
      <c r="P3" s="64">
        <f t="shared" si="1"/>
        <v>2848.3516483516478</v>
      </c>
      <c r="Q3" s="64">
        <f>Q2*P5</f>
        <v>3323.0769230769224</v>
      </c>
      <c r="R3" s="64">
        <f>SUM(J3:Q3)*0.8</f>
        <v>10633.846153846151</v>
      </c>
      <c r="S3" s="64">
        <f>R3-D4</f>
        <v>3249.2307692307659</v>
      </c>
    </row>
    <row r="4" spans="1:26" x14ac:dyDescent="0.35">
      <c r="A4" s="65" t="s">
        <v>63</v>
      </c>
      <c r="B4" s="65"/>
      <c r="C4" s="66">
        <f>SUM(C2:C3)</f>
        <v>960000</v>
      </c>
      <c r="D4" s="68">
        <f>SUM(D2:D3)</f>
        <v>7384.6153846153848</v>
      </c>
      <c r="E4" s="65"/>
      <c r="F4" s="67">
        <f>SUM(F2:F3)</f>
        <v>1265.9340659340658</v>
      </c>
      <c r="G4" s="67">
        <f>SUM(G2:G3)</f>
        <v>63.296703296703285</v>
      </c>
      <c r="I4" t="s">
        <v>156</v>
      </c>
      <c r="J4" s="64">
        <f>J3/10</f>
        <v>47.47252747252746</v>
      </c>
      <c r="K4" s="64" t="e">
        <f t="shared" ref="K4:L4" si="2">K3/10</f>
        <v>#VALUE!</v>
      </c>
      <c r="L4" s="64">
        <f t="shared" si="2"/>
        <v>94.94505494505492</v>
      </c>
      <c r="M4" s="64">
        <f>M3/10</f>
        <v>142.41758241758239</v>
      </c>
      <c r="N4" s="64">
        <f>N3/10</f>
        <v>189.89010989010984</v>
      </c>
      <c r="O4" s="64">
        <f>O3/10</f>
        <v>237.36263736263732</v>
      </c>
      <c r="P4" s="64">
        <f>P3/10</f>
        <v>284.83516483516479</v>
      </c>
      <c r="Q4" s="64">
        <f>Q3/10</f>
        <v>332.30769230769226</v>
      </c>
      <c r="R4" s="64"/>
    </row>
    <row r="5" spans="1:26" x14ac:dyDescent="0.35">
      <c r="A5" s="71" t="s">
        <v>174</v>
      </c>
      <c r="B5" s="71"/>
      <c r="C5" s="71"/>
      <c r="D5" s="71"/>
      <c r="I5" t="s">
        <v>158</v>
      </c>
      <c r="J5" s="49">
        <f>J3/J2</f>
        <v>4.7472527472527462E-2</v>
      </c>
      <c r="K5" s="65" t="s">
        <v>179</v>
      </c>
      <c r="L5" s="49">
        <f>L3/L2</f>
        <v>4.7472527472527462E-2</v>
      </c>
      <c r="M5" s="49">
        <f>M3/M2</f>
        <v>4.7472527472527462E-2</v>
      </c>
      <c r="N5" s="49">
        <f t="shared" ref="N5:Q5" si="3">N3/N2</f>
        <v>4.7472527472527462E-2</v>
      </c>
      <c r="O5" s="49">
        <f t="shared" si="3"/>
        <v>4.7472527472527462E-2</v>
      </c>
      <c r="P5" s="49">
        <f t="shared" si="3"/>
        <v>4.7472527472527462E-2</v>
      </c>
      <c r="Q5" s="49">
        <f t="shared" si="3"/>
        <v>4.7472527472527462E-2</v>
      </c>
      <c r="R5" s="64"/>
    </row>
    <row r="6" spans="1:26" s="59" customFormat="1" x14ac:dyDescent="0.35">
      <c r="A6" s="71" t="s">
        <v>170</v>
      </c>
      <c r="B6" s="71" t="s">
        <v>171</v>
      </c>
      <c r="C6" s="71"/>
      <c r="D6" s="71"/>
      <c r="I6" s="59" t="s">
        <v>168</v>
      </c>
      <c r="J6" s="69">
        <f>J4/J2</f>
        <v>4.7472527472527462E-3</v>
      </c>
      <c r="K6" s="62" t="s">
        <v>178</v>
      </c>
      <c r="L6" s="69">
        <f>L4/L2</f>
        <v>4.7472527472527462E-3</v>
      </c>
      <c r="M6" s="69">
        <f t="shared" ref="M6:Q6" si="4">M4/M2</f>
        <v>4.7472527472527462E-3</v>
      </c>
      <c r="N6" s="69">
        <f>N4/N2</f>
        <v>4.7472527472527462E-3</v>
      </c>
      <c r="O6" s="69">
        <f t="shared" si="4"/>
        <v>4.7472527472527462E-3</v>
      </c>
      <c r="P6" s="69">
        <f t="shared" si="4"/>
        <v>4.7472527472527462E-3</v>
      </c>
      <c r="Q6" s="69">
        <f t="shared" si="4"/>
        <v>4.7472527472527462E-3</v>
      </c>
    </row>
    <row r="7" spans="1:26" s="59" customFormat="1" x14ac:dyDescent="0.35">
      <c r="A7" s="71" t="s">
        <v>172</v>
      </c>
      <c r="B7" s="71" t="s">
        <v>173</v>
      </c>
      <c r="C7" s="71"/>
      <c r="D7" s="71"/>
      <c r="I7" s="59" t="s">
        <v>169</v>
      </c>
      <c r="J7" s="69">
        <v>5.0000000000000001E-3</v>
      </c>
      <c r="K7" s="65" t="s">
        <v>180</v>
      </c>
      <c r="L7" s="69">
        <v>5.0000000000000001E-3</v>
      </c>
      <c r="M7" s="69">
        <v>5.0000000000000001E-3</v>
      </c>
      <c r="N7" s="69">
        <v>5.0000000000000001E-3</v>
      </c>
      <c r="O7" s="69">
        <v>5.0000000000000001E-3</v>
      </c>
      <c r="P7" s="69">
        <v>5.0000000000000001E-3</v>
      </c>
      <c r="Q7" s="69">
        <v>5.0000000000000001E-3</v>
      </c>
    </row>
    <row r="8" spans="1:26" s="59" customFormat="1" x14ac:dyDescent="0.35">
      <c r="J8" s="70"/>
      <c r="K8" s="62" t="s">
        <v>178</v>
      </c>
      <c r="L8" s="70"/>
      <c r="M8" s="69"/>
      <c r="N8" s="69"/>
      <c r="O8" s="69"/>
      <c r="P8" s="69"/>
      <c r="Q8" s="69"/>
    </row>
    <row r="9" spans="1:26" x14ac:dyDescent="0.35">
      <c r="A9" s="59" t="s">
        <v>146</v>
      </c>
      <c r="B9" s="59" t="s">
        <v>136</v>
      </c>
      <c r="C9" s="59" t="s">
        <v>139</v>
      </c>
      <c r="D9" s="59" t="s">
        <v>140</v>
      </c>
      <c r="E9" s="59" t="s">
        <v>141</v>
      </c>
      <c r="F9" s="59" t="s">
        <v>142</v>
      </c>
      <c r="G9" s="59" t="s">
        <v>143</v>
      </c>
      <c r="I9" s="59" t="s">
        <v>153</v>
      </c>
      <c r="J9" s="59" t="s">
        <v>163</v>
      </c>
      <c r="L9" s="59" t="s">
        <v>164</v>
      </c>
      <c r="M9" s="59" t="s">
        <v>165</v>
      </c>
      <c r="N9" s="59" t="s">
        <v>166</v>
      </c>
      <c r="O9" s="59" t="s">
        <v>167</v>
      </c>
      <c r="P9" s="59" t="s">
        <v>152</v>
      </c>
      <c r="Q9" s="59" t="s">
        <v>157</v>
      </c>
      <c r="R9" s="59" t="s">
        <v>159</v>
      </c>
      <c r="S9" s="59" t="s">
        <v>160</v>
      </c>
      <c r="T9" s="59" t="s">
        <v>161</v>
      </c>
      <c r="U9" s="59" t="s">
        <v>162</v>
      </c>
      <c r="V9" s="59" t="s">
        <v>138</v>
      </c>
      <c r="Y9" s="60" t="s">
        <v>182</v>
      </c>
      <c r="Z9" s="60"/>
    </row>
    <row r="10" spans="1:26" x14ac:dyDescent="0.35">
      <c r="A10" s="59" t="s">
        <v>181</v>
      </c>
      <c r="B10" s="61">
        <v>46722</v>
      </c>
      <c r="C10" s="63">
        <f>40000*12</f>
        <v>480000</v>
      </c>
      <c r="D10" s="62">
        <f>C10/130</f>
        <v>3692.3076923076924</v>
      </c>
      <c r="E10" s="59">
        <v>12</v>
      </c>
      <c r="F10" s="64">
        <f>D10/E10*1.2</f>
        <v>369.23076923076923</v>
      </c>
      <c r="G10" s="64">
        <f>F10/20</f>
        <v>18.46153846153846</v>
      </c>
      <c r="I10" s="59" t="s">
        <v>154</v>
      </c>
      <c r="J10" s="62">
        <f>Q2+10000</f>
        <v>80000</v>
      </c>
      <c r="K10" s="62"/>
      <c r="L10" s="62">
        <f>J10+10000</f>
        <v>90000</v>
      </c>
      <c r="M10" s="62">
        <f>L10+10000</f>
        <v>100000</v>
      </c>
      <c r="N10" s="62">
        <f t="shared" ref="N10:Q10" si="5">M10+10000</f>
        <v>110000</v>
      </c>
      <c r="O10" s="62">
        <f t="shared" si="5"/>
        <v>120000</v>
      </c>
      <c r="P10" s="62">
        <f t="shared" si="5"/>
        <v>130000</v>
      </c>
      <c r="Q10" s="62">
        <f t="shared" si="5"/>
        <v>140000</v>
      </c>
      <c r="R10" s="62">
        <f t="shared" ref="R10:V10" si="6">Q10+10000</f>
        <v>150000</v>
      </c>
      <c r="S10" s="62">
        <f t="shared" si="6"/>
        <v>160000</v>
      </c>
      <c r="T10" s="62">
        <f t="shared" si="6"/>
        <v>170000</v>
      </c>
      <c r="U10" s="62">
        <f t="shared" si="6"/>
        <v>180000</v>
      </c>
      <c r="V10" s="62">
        <f t="shared" si="6"/>
        <v>190000</v>
      </c>
      <c r="W10" s="62">
        <f>V10</f>
        <v>190000</v>
      </c>
      <c r="Y10" s="1">
        <v>46752</v>
      </c>
      <c r="Z10" s="74">
        <f ca="1">Y10-TODAY()</f>
        <v>581</v>
      </c>
    </row>
    <row r="11" spans="1:26" x14ac:dyDescent="0.35">
      <c r="A11" s="59" t="s">
        <v>144</v>
      </c>
      <c r="B11" s="61">
        <f>B10</f>
        <v>46722</v>
      </c>
      <c r="C11" s="63">
        <f>60000*12</f>
        <v>720000</v>
      </c>
      <c r="D11" s="62">
        <f>C11/130</f>
        <v>5538.4615384615381</v>
      </c>
      <c r="E11" s="59">
        <v>12</v>
      </c>
      <c r="F11" s="64">
        <f>D11/E11*1.2</f>
        <v>553.84615384615381</v>
      </c>
      <c r="G11" s="64">
        <f>F11/20</f>
        <v>27.69230769230769</v>
      </c>
      <c r="I11" s="59" t="s">
        <v>155</v>
      </c>
      <c r="J11" s="64">
        <f>J10*J13</f>
        <v>3797.802197802197</v>
      </c>
      <c r="K11" s="64"/>
      <c r="L11" s="64">
        <f t="shared" ref="L11:Q11" si="7">L10*L13</f>
        <v>4272.5274725274712</v>
      </c>
      <c r="M11" s="64">
        <f t="shared" si="7"/>
        <v>4747.2527472527463</v>
      </c>
      <c r="N11" s="64">
        <f t="shared" si="7"/>
        <v>5221.9780219780205</v>
      </c>
      <c r="O11" s="64">
        <f t="shared" si="7"/>
        <v>5696.7032967032956</v>
      </c>
      <c r="P11" s="64">
        <f t="shared" si="7"/>
        <v>6171.4285714285697</v>
      </c>
      <c r="Q11" s="64">
        <f t="shared" si="7"/>
        <v>6646.1538461538448</v>
      </c>
      <c r="R11" s="64">
        <f t="shared" ref="R11" si="8">R10*R13</f>
        <v>7120.879120879119</v>
      </c>
      <c r="S11" s="64">
        <f t="shared" ref="S11" si="9">S10*S13</f>
        <v>7595.6043956043941</v>
      </c>
      <c r="T11" s="64">
        <f t="shared" ref="T11" si="10">T10*T13</f>
        <v>8070.3296703296683</v>
      </c>
      <c r="U11" s="64">
        <f t="shared" ref="U11" si="11">U10*U13</f>
        <v>8545.0549450549424</v>
      </c>
      <c r="V11" s="64">
        <f>V10*V13</f>
        <v>9019.7802197802175</v>
      </c>
      <c r="W11" s="64">
        <f>SUM(J11:V11)*0.8</f>
        <v>61524.395604395591</v>
      </c>
      <c r="X11" s="64">
        <f>W11-D13</f>
        <v>32678.241758241744</v>
      </c>
    </row>
    <row r="12" spans="1:26" x14ac:dyDescent="0.35">
      <c r="A12" t="s">
        <v>148</v>
      </c>
      <c r="B12" s="61">
        <f>B11</f>
        <v>46722</v>
      </c>
      <c r="C12" s="63">
        <v>2550000</v>
      </c>
      <c r="D12" s="62">
        <f>C12/130</f>
        <v>19615.384615384617</v>
      </c>
      <c r="E12">
        <v>12</v>
      </c>
      <c r="F12" s="64">
        <f>D12/E12*1.2</f>
        <v>1961.5384615384617</v>
      </c>
      <c r="G12" s="64">
        <f>F12/20</f>
        <v>98.07692307692308</v>
      </c>
      <c r="I12" s="59" t="s">
        <v>156</v>
      </c>
      <c r="J12" s="64">
        <f>J11/20</f>
        <v>189.89010989010984</v>
      </c>
      <c r="K12" s="64"/>
      <c r="L12" s="64">
        <f t="shared" ref="L12:Q12" si="12">L11/20</f>
        <v>213.62637362637355</v>
      </c>
      <c r="M12" s="64">
        <f t="shared" si="12"/>
        <v>237.36263736263732</v>
      </c>
      <c r="N12" s="64">
        <f t="shared" si="12"/>
        <v>261.09890109890102</v>
      </c>
      <c r="O12" s="64">
        <f t="shared" si="12"/>
        <v>284.83516483516479</v>
      </c>
      <c r="P12" s="64">
        <f t="shared" si="12"/>
        <v>308.5714285714285</v>
      </c>
      <c r="Q12" s="64">
        <f t="shared" si="12"/>
        <v>332.30769230769226</v>
      </c>
      <c r="R12" s="64">
        <f t="shared" ref="R12:U12" si="13">R11/20</f>
        <v>356.04395604395597</v>
      </c>
      <c r="S12" s="64">
        <f t="shared" si="13"/>
        <v>379.78021978021968</v>
      </c>
      <c r="T12" s="64">
        <f t="shared" si="13"/>
        <v>403.51648351648339</v>
      </c>
      <c r="U12" s="64">
        <f t="shared" si="13"/>
        <v>427.2527472527471</v>
      </c>
      <c r="V12" s="64">
        <f>V11/20</f>
        <v>450.98901098901086</v>
      </c>
    </row>
    <row r="13" spans="1:26" x14ac:dyDescent="0.35">
      <c r="A13" s="65" t="s">
        <v>63</v>
      </c>
      <c r="B13" s="65"/>
      <c r="C13" s="66">
        <f>SUM(C10:C12)</f>
        <v>3750000</v>
      </c>
      <c r="D13" s="68">
        <f>SUM(D10:D12)</f>
        <v>28846.153846153848</v>
      </c>
      <c r="E13" s="65"/>
      <c r="F13" s="67">
        <f>SUM(F10:F12)</f>
        <v>2884.6153846153848</v>
      </c>
      <c r="G13" s="67">
        <f>SUM(G10:G12)</f>
        <v>144.23076923076923</v>
      </c>
      <c r="I13" s="59" t="s">
        <v>158</v>
      </c>
      <c r="J13" s="49">
        <f>J5</f>
        <v>4.7472527472527462E-2</v>
      </c>
      <c r="K13" s="49"/>
      <c r="L13" s="49">
        <f>J13</f>
        <v>4.7472527472527462E-2</v>
      </c>
      <c r="M13" s="49">
        <f>L13</f>
        <v>4.7472527472527462E-2</v>
      </c>
      <c r="N13" s="49">
        <f>M13</f>
        <v>4.7472527472527462E-2</v>
      </c>
      <c r="O13" s="49">
        <f t="shared" ref="O13:V13" si="14">N13</f>
        <v>4.7472527472527462E-2</v>
      </c>
      <c r="P13" s="49">
        <f t="shared" si="14"/>
        <v>4.7472527472527462E-2</v>
      </c>
      <c r="Q13" s="49">
        <f t="shared" si="14"/>
        <v>4.7472527472527462E-2</v>
      </c>
      <c r="R13" s="49">
        <f t="shared" si="14"/>
        <v>4.7472527472527462E-2</v>
      </c>
      <c r="S13" s="49">
        <f t="shared" si="14"/>
        <v>4.7472527472527462E-2</v>
      </c>
      <c r="T13" s="49">
        <f>S13</f>
        <v>4.7472527472527462E-2</v>
      </c>
      <c r="U13" s="49">
        <f t="shared" si="14"/>
        <v>4.7472527472527462E-2</v>
      </c>
      <c r="V13" s="49">
        <f t="shared" si="14"/>
        <v>4.7472527472527462E-2</v>
      </c>
    </row>
    <row r="14" spans="1:26" s="59" customFormat="1" x14ac:dyDescent="0.35">
      <c r="I14" s="59" t="s">
        <v>168</v>
      </c>
      <c r="J14" s="69">
        <f>J12/J10</f>
        <v>2.3736263736263731E-3</v>
      </c>
      <c r="K14" s="69"/>
      <c r="L14" s="69">
        <f t="shared" ref="L14:Q14" si="15">L12/L10</f>
        <v>2.3736263736263727E-3</v>
      </c>
      <c r="M14" s="69">
        <f t="shared" si="15"/>
        <v>2.3736263736263731E-3</v>
      </c>
      <c r="N14" s="69">
        <f t="shared" si="15"/>
        <v>2.3736263736263731E-3</v>
      </c>
      <c r="O14" s="69">
        <f t="shared" si="15"/>
        <v>2.3736263736263731E-3</v>
      </c>
      <c r="P14" s="69">
        <f t="shared" si="15"/>
        <v>2.3736263736263731E-3</v>
      </c>
      <c r="Q14" s="69">
        <f t="shared" si="15"/>
        <v>2.3736263736263731E-3</v>
      </c>
      <c r="R14" s="69">
        <f t="shared" ref="R14:V14" si="16">R12/R10</f>
        <v>2.3736263736263731E-3</v>
      </c>
      <c r="S14" s="69">
        <f t="shared" si="16"/>
        <v>2.3736263736263731E-3</v>
      </c>
      <c r="T14" s="69">
        <f t="shared" si="16"/>
        <v>2.3736263736263727E-3</v>
      </c>
      <c r="U14" s="69">
        <f t="shared" si="16"/>
        <v>2.3736263736263727E-3</v>
      </c>
      <c r="V14" s="69">
        <f t="shared" si="16"/>
        <v>2.3736263736263731E-3</v>
      </c>
    </row>
    <row r="15" spans="1:26" s="59" customFormat="1" x14ac:dyDescent="0.35">
      <c r="I15" s="59" t="s">
        <v>169</v>
      </c>
      <c r="J15" s="69">
        <v>5.0000000000000001E-3</v>
      </c>
      <c r="K15" s="69"/>
      <c r="L15" s="69">
        <v>5.0000000000000001E-3</v>
      </c>
      <c r="M15" s="69">
        <v>5.0000000000000001E-3</v>
      </c>
      <c r="N15" s="69">
        <v>5.0000000000000001E-3</v>
      </c>
      <c r="O15" s="69">
        <v>5.0000000000000001E-3</v>
      </c>
      <c r="P15" s="69">
        <v>5.0000000000000001E-3</v>
      </c>
      <c r="Q15" s="69">
        <v>5.0000000000000001E-3</v>
      </c>
      <c r="R15" s="69">
        <v>5.0000000000000001E-3</v>
      </c>
      <c r="S15" s="69">
        <v>5.0000000000000001E-3</v>
      </c>
      <c r="T15" s="69">
        <v>5.0000000000000001E-3</v>
      </c>
      <c r="U15" s="69">
        <v>5.0000000000000001E-3</v>
      </c>
      <c r="V15" s="69">
        <v>5.0000000000000001E-3</v>
      </c>
    </row>
    <row r="17" spans="1:26" s="59" customFormat="1" x14ac:dyDescent="0.35">
      <c r="A17" s="59" t="s">
        <v>149</v>
      </c>
      <c r="B17" s="59" t="s">
        <v>136</v>
      </c>
      <c r="C17" s="59" t="s">
        <v>139</v>
      </c>
      <c r="D17" s="59" t="s">
        <v>140</v>
      </c>
      <c r="E17" s="59" t="s">
        <v>141</v>
      </c>
      <c r="F17" s="59" t="s">
        <v>142</v>
      </c>
      <c r="G17" s="59" t="s">
        <v>143</v>
      </c>
      <c r="I17" s="59" t="s">
        <v>153</v>
      </c>
      <c r="J17" s="59" t="s">
        <v>163</v>
      </c>
      <c r="L17" s="59" t="s">
        <v>164</v>
      </c>
      <c r="M17" s="59" t="s">
        <v>165</v>
      </c>
      <c r="N17" s="59" t="s">
        <v>166</v>
      </c>
      <c r="O17" s="59" t="s">
        <v>167</v>
      </c>
      <c r="P17" s="59" t="s">
        <v>152</v>
      </c>
      <c r="Q17" s="59" t="s">
        <v>157</v>
      </c>
      <c r="R17" s="59" t="s">
        <v>159</v>
      </c>
      <c r="S17" s="59" t="s">
        <v>160</v>
      </c>
      <c r="T17" s="59" t="s">
        <v>161</v>
      </c>
      <c r="U17" s="59" t="s">
        <v>162</v>
      </c>
      <c r="V17" s="59" t="s">
        <v>138</v>
      </c>
      <c r="Y17" s="60" t="s">
        <v>182</v>
      </c>
      <c r="Z17" s="60"/>
    </row>
    <row r="18" spans="1:26" s="59" customFormat="1" x14ac:dyDescent="0.35">
      <c r="A18" s="59" t="str">
        <f>A10</f>
        <v>Move to a 3 bedrom house</v>
      </c>
      <c r="B18" s="61">
        <v>47088</v>
      </c>
      <c r="C18" s="63">
        <f>40000*12</f>
        <v>480000</v>
      </c>
      <c r="D18" s="62">
        <f>C18/130</f>
        <v>3692.3076923076924</v>
      </c>
      <c r="E18" s="59">
        <v>12</v>
      </c>
      <c r="F18" s="64">
        <f>D18/E18*1.2</f>
        <v>369.23076923076923</v>
      </c>
      <c r="G18" s="64">
        <f>F18/20</f>
        <v>18.46153846153846</v>
      </c>
      <c r="I18" s="59" t="s">
        <v>154</v>
      </c>
      <c r="J18" s="62">
        <f>V10+10000</f>
        <v>200000</v>
      </c>
      <c r="K18" s="62"/>
      <c r="L18" s="62">
        <f>J18+10000</f>
        <v>210000</v>
      </c>
      <c r="M18" s="62">
        <f>L18+10000</f>
        <v>220000</v>
      </c>
      <c r="N18" s="62">
        <f t="shared" ref="N18:V18" si="17">M18+10000</f>
        <v>230000</v>
      </c>
      <c r="O18" s="62">
        <f t="shared" si="17"/>
        <v>240000</v>
      </c>
      <c r="P18" s="62">
        <f t="shared" si="17"/>
        <v>250000</v>
      </c>
      <c r="Q18" s="62">
        <f t="shared" si="17"/>
        <v>260000</v>
      </c>
      <c r="R18" s="62">
        <f t="shared" si="17"/>
        <v>270000</v>
      </c>
      <c r="S18" s="62">
        <f t="shared" si="17"/>
        <v>280000</v>
      </c>
      <c r="T18" s="62">
        <f t="shared" si="17"/>
        <v>290000</v>
      </c>
      <c r="U18" s="62">
        <f t="shared" si="17"/>
        <v>300000</v>
      </c>
      <c r="V18" s="62">
        <f t="shared" si="17"/>
        <v>310000</v>
      </c>
      <c r="W18" s="62">
        <f>V18</f>
        <v>310000</v>
      </c>
      <c r="Y18" s="1">
        <v>47118</v>
      </c>
      <c r="Z18" s="74">
        <f ca="1">Y18-TODAY()</f>
        <v>947</v>
      </c>
    </row>
    <row r="19" spans="1:26" s="59" customFormat="1" x14ac:dyDescent="0.35">
      <c r="A19" s="59" t="s">
        <v>144</v>
      </c>
      <c r="B19" s="61">
        <f>B18</f>
        <v>47088</v>
      </c>
      <c r="C19" s="63">
        <f>100000*12</f>
        <v>1200000</v>
      </c>
      <c r="D19" s="62">
        <f>C19/130</f>
        <v>9230.7692307692305</v>
      </c>
      <c r="E19" s="59">
        <v>12</v>
      </c>
      <c r="F19" s="64">
        <f>D19/E19*1.2</f>
        <v>923.07692307692298</v>
      </c>
      <c r="G19" s="64">
        <f>F19/20</f>
        <v>46.153846153846146</v>
      </c>
      <c r="I19" s="59" t="s">
        <v>155</v>
      </c>
      <c r="J19" s="64">
        <f>J18*J21</f>
        <v>9494.5054945054926</v>
      </c>
      <c r="K19" s="64"/>
      <c r="L19" s="64">
        <f t="shared" ref="L19" si="18">L18*L21</f>
        <v>9969.2307692307677</v>
      </c>
      <c r="M19" s="64">
        <f t="shared" ref="M19" si="19">M18*M21</f>
        <v>10443.956043956041</v>
      </c>
      <c r="N19" s="64">
        <f t="shared" ref="N19" si="20">N18*N21</f>
        <v>10918.681318681316</v>
      </c>
      <c r="O19" s="64">
        <f t="shared" ref="O19" si="21">O18*O21</f>
        <v>11393.406593406591</v>
      </c>
      <c r="P19" s="64">
        <f t="shared" ref="P19" si="22">P18*P21</f>
        <v>11868.131868131866</v>
      </c>
      <c r="Q19" s="64">
        <f t="shared" ref="Q19" si="23">Q18*Q21</f>
        <v>12342.857142857139</v>
      </c>
      <c r="R19" s="64">
        <f t="shared" ref="R19" si="24">R18*R21</f>
        <v>12817.582417582415</v>
      </c>
      <c r="S19" s="64">
        <f t="shared" ref="S19" si="25">S18*S21</f>
        <v>13292.30769230769</v>
      </c>
      <c r="T19" s="64">
        <f t="shared" ref="T19" si="26">T18*T21</f>
        <v>13767.032967032965</v>
      </c>
      <c r="U19" s="64">
        <f t="shared" ref="U19" si="27">U18*U21</f>
        <v>14241.758241758238</v>
      </c>
      <c r="V19" s="64">
        <f>V18*V21</f>
        <v>14716.483516483513</v>
      </c>
      <c r="W19" s="64">
        <f>SUM(J19:V19)*0.8</f>
        <v>116212.74725274724</v>
      </c>
      <c r="X19" s="64">
        <f>W19-D21</f>
        <v>80212.747252747242</v>
      </c>
    </row>
    <row r="20" spans="1:26" s="59" customFormat="1" x14ac:dyDescent="0.35">
      <c r="A20" s="59" t="s">
        <v>147</v>
      </c>
      <c r="B20" s="61">
        <f>B19</f>
        <v>47088</v>
      </c>
      <c r="C20" s="63">
        <v>3000000</v>
      </c>
      <c r="D20" s="62">
        <f>C20/130</f>
        <v>23076.923076923078</v>
      </c>
      <c r="E20" s="59">
        <v>12</v>
      </c>
      <c r="F20" s="64">
        <f>D20/E20*1.2</f>
        <v>2307.6923076923076</v>
      </c>
      <c r="G20" s="64">
        <f>F20/20</f>
        <v>115.38461538461539</v>
      </c>
      <c r="I20" s="59" t="s">
        <v>156</v>
      </c>
      <c r="J20" s="64">
        <f>J19/20</f>
        <v>474.72527472527463</v>
      </c>
      <c r="K20" s="64"/>
      <c r="L20" s="64">
        <f t="shared" ref="L20:Q20" si="28">L19/20</f>
        <v>498.4615384615384</v>
      </c>
      <c r="M20" s="64">
        <f t="shared" si="28"/>
        <v>522.19780219780205</v>
      </c>
      <c r="N20" s="64">
        <f t="shared" si="28"/>
        <v>545.93406593406576</v>
      </c>
      <c r="O20" s="64">
        <f t="shared" si="28"/>
        <v>569.67032967032958</v>
      </c>
      <c r="P20" s="64">
        <f t="shared" si="28"/>
        <v>593.40659340659329</v>
      </c>
      <c r="Q20" s="64">
        <f t="shared" si="28"/>
        <v>617.142857142857</v>
      </c>
      <c r="R20" s="64">
        <f t="shared" ref="R20" si="29">R19/20</f>
        <v>640.87912087912071</v>
      </c>
      <c r="S20" s="64">
        <f t="shared" ref="S20" si="30">S19/20</f>
        <v>664.61538461538453</v>
      </c>
      <c r="T20" s="64">
        <f t="shared" ref="T20" si="31">T19/20</f>
        <v>688.35164835164824</v>
      </c>
      <c r="U20" s="64">
        <f t="shared" ref="U20" si="32">U19/20</f>
        <v>712.08791208791195</v>
      </c>
      <c r="V20" s="64">
        <f>V19/20</f>
        <v>735.82417582417565</v>
      </c>
    </row>
    <row r="21" spans="1:26" s="59" customFormat="1" x14ac:dyDescent="0.35">
      <c r="A21" s="65" t="s">
        <v>63</v>
      </c>
      <c r="B21" s="65"/>
      <c r="C21" s="66">
        <f>SUM(C18:C20)</f>
        <v>4680000</v>
      </c>
      <c r="D21" s="68">
        <f>SUM(D18:D20)</f>
        <v>36000</v>
      </c>
      <c r="E21" s="65"/>
      <c r="F21" s="67">
        <f>SUM(F18:F20)</f>
        <v>3600</v>
      </c>
      <c r="G21" s="67">
        <f>SUM(G18:G20)</f>
        <v>180</v>
      </c>
      <c r="I21" s="59" t="s">
        <v>158</v>
      </c>
      <c r="J21" s="49">
        <f>J13</f>
        <v>4.7472527472527462E-2</v>
      </c>
      <c r="K21" s="49"/>
      <c r="L21" s="49">
        <f>J21</f>
        <v>4.7472527472527462E-2</v>
      </c>
      <c r="M21" s="49">
        <f>L21</f>
        <v>4.7472527472527462E-2</v>
      </c>
      <c r="N21" s="49">
        <f t="shared" ref="N21:V21" si="33">L21</f>
        <v>4.7472527472527462E-2</v>
      </c>
      <c r="O21" s="49">
        <f t="shared" si="33"/>
        <v>4.7472527472527462E-2</v>
      </c>
      <c r="P21" s="49">
        <f t="shared" si="33"/>
        <v>4.7472527472527462E-2</v>
      </c>
      <c r="Q21" s="49">
        <f t="shared" si="33"/>
        <v>4.7472527472527462E-2</v>
      </c>
      <c r="R21" s="49">
        <f t="shared" si="33"/>
        <v>4.7472527472527462E-2</v>
      </c>
      <c r="S21" s="49">
        <f t="shared" si="33"/>
        <v>4.7472527472527462E-2</v>
      </c>
      <c r="T21" s="49">
        <f t="shared" si="33"/>
        <v>4.7472527472527462E-2</v>
      </c>
      <c r="U21" s="49">
        <f t="shared" si="33"/>
        <v>4.7472527472527462E-2</v>
      </c>
      <c r="V21" s="49">
        <f t="shared" si="33"/>
        <v>4.7472527472527462E-2</v>
      </c>
    </row>
    <row r="22" spans="1:26" s="59" customFormat="1" x14ac:dyDescent="0.35">
      <c r="I22" s="59" t="s">
        <v>168</v>
      </c>
      <c r="J22" s="69">
        <f>J20/J18</f>
        <v>2.3736263736263731E-3</v>
      </c>
      <c r="K22" s="69"/>
      <c r="L22" s="69">
        <f t="shared" ref="L22:V22" si="34">L20/L18</f>
        <v>2.3736263736263731E-3</v>
      </c>
      <c r="M22" s="69">
        <f t="shared" si="34"/>
        <v>2.3736263736263731E-3</v>
      </c>
      <c r="N22" s="69">
        <f t="shared" si="34"/>
        <v>2.3736263736263727E-3</v>
      </c>
      <c r="O22" s="69">
        <f t="shared" si="34"/>
        <v>2.3736263736263731E-3</v>
      </c>
      <c r="P22" s="69">
        <f t="shared" si="34"/>
        <v>2.3736263736263731E-3</v>
      </c>
      <c r="Q22" s="69">
        <f t="shared" si="34"/>
        <v>2.3736263736263731E-3</v>
      </c>
      <c r="R22" s="69">
        <f t="shared" si="34"/>
        <v>2.3736263736263731E-3</v>
      </c>
      <c r="S22" s="69">
        <f t="shared" si="34"/>
        <v>2.3736263736263731E-3</v>
      </c>
      <c r="T22" s="69">
        <f t="shared" si="34"/>
        <v>2.3736263736263731E-3</v>
      </c>
      <c r="U22" s="69">
        <f t="shared" si="34"/>
        <v>2.3736263736263731E-3</v>
      </c>
      <c r="V22" s="69">
        <f t="shared" si="34"/>
        <v>2.3736263736263731E-3</v>
      </c>
    </row>
    <row r="23" spans="1:26" s="59" customFormat="1" x14ac:dyDescent="0.35">
      <c r="I23" s="59" t="s">
        <v>169</v>
      </c>
      <c r="J23" s="69">
        <v>5.0000000000000001E-3</v>
      </c>
      <c r="K23" s="69"/>
      <c r="L23" s="69">
        <v>5.0000000000000001E-3</v>
      </c>
      <c r="M23" s="69">
        <v>5.0000000000000001E-3</v>
      </c>
      <c r="N23" s="69">
        <v>5.0000000000000001E-3</v>
      </c>
      <c r="O23" s="69">
        <v>5.0000000000000001E-3</v>
      </c>
      <c r="P23" s="69">
        <v>5.0000000000000001E-3</v>
      </c>
      <c r="Q23" s="69">
        <v>5.0000000000000001E-3</v>
      </c>
      <c r="R23" s="69">
        <v>5.0000000000000001E-3</v>
      </c>
      <c r="S23" s="69">
        <v>5.0000000000000001E-3</v>
      </c>
      <c r="T23" s="69">
        <v>5.0000000000000001E-3</v>
      </c>
      <c r="U23" s="69">
        <v>5.0000000000000001E-3</v>
      </c>
      <c r="V23" s="69">
        <v>5.0000000000000001E-3</v>
      </c>
    </row>
    <row r="25" spans="1:26" x14ac:dyDescent="0.35">
      <c r="A25" s="59" t="s">
        <v>150</v>
      </c>
      <c r="B25" s="59" t="s">
        <v>136</v>
      </c>
      <c r="C25" s="59" t="s">
        <v>139</v>
      </c>
      <c r="D25" s="59" t="s">
        <v>140</v>
      </c>
      <c r="E25" s="59" t="s">
        <v>141</v>
      </c>
      <c r="F25" s="59" t="s">
        <v>142</v>
      </c>
      <c r="G25" s="59" t="s">
        <v>143</v>
      </c>
      <c r="I25" s="59" t="s">
        <v>153</v>
      </c>
      <c r="J25" s="59" t="s">
        <v>163</v>
      </c>
      <c r="L25" s="59" t="s">
        <v>164</v>
      </c>
      <c r="M25" s="59" t="s">
        <v>165</v>
      </c>
      <c r="N25" s="59" t="s">
        <v>166</v>
      </c>
      <c r="O25" s="59" t="s">
        <v>167</v>
      </c>
      <c r="P25" s="59" t="s">
        <v>152</v>
      </c>
      <c r="Q25" s="59" t="s">
        <v>157</v>
      </c>
      <c r="R25" s="59" t="s">
        <v>159</v>
      </c>
      <c r="S25" s="59" t="s">
        <v>160</v>
      </c>
      <c r="T25" s="59" t="s">
        <v>161</v>
      </c>
      <c r="U25" s="59" t="s">
        <v>162</v>
      </c>
      <c r="V25" s="59" t="s">
        <v>138</v>
      </c>
      <c r="W25" s="59"/>
      <c r="X25" s="59"/>
    </row>
    <row r="26" spans="1:26" x14ac:dyDescent="0.35">
      <c r="A26" s="59" t="s">
        <v>137</v>
      </c>
      <c r="B26" s="61">
        <v>47453</v>
      </c>
      <c r="C26" s="63">
        <f>30000*12</f>
        <v>360000</v>
      </c>
      <c r="D26" s="62">
        <f>C26/130</f>
        <v>2769.2307692307691</v>
      </c>
      <c r="E26" s="59">
        <v>12</v>
      </c>
      <c r="F26" s="64">
        <f>D26/E26*1.2</f>
        <v>276.92307692307691</v>
      </c>
      <c r="G26" s="64">
        <f>F26/20</f>
        <v>13.846153846153845</v>
      </c>
      <c r="I26" s="59" t="s">
        <v>154</v>
      </c>
      <c r="J26" s="62">
        <f>V18+10000</f>
        <v>320000</v>
      </c>
      <c r="K26" s="62"/>
      <c r="L26" s="62">
        <f>J26+10000</f>
        <v>330000</v>
      </c>
      <c r="M26" s="62">
        <f>L26+10000</f>
        <v>340000</v>
      </c>
      <c r="N26" s="62">
        <f t="shared" ref="N26:S26" si="35">M26+10000</f>
        <v>350000</v>
      </c>
      <c r="O26" s="62">
        <f t="shared" si="35"/>
        <v>360000</v>
      </c>
      <c r="P26" s="62">
        <f t="shared" si="35"/>
        <v>370000</v>
      </c>
      <c r="Q26" s="62">
        <f t="shared" si="35"/>
        <v>380000</v>
      </c>
      <c r="R26" s="62">
        <f t="shared" si="35"/>
        <v>390000</v>
      </c>
      <c r="S26" s="62">
        <f t="shared" si="35"/>
        <v>400000</v>
      </c>
      <c r="T26" s="62">
        <f>S26</f>
        <v>400000</v>
      </c>
      <c r="U26" s="62">
        <f>T26</f>
        <v>400000</v>
      </c>
      <c r="V26" s="62">
        <f>U26</f>
        <v>400000</v>
      </c>
      <c r="W26" s="62">
        <f>V26</f>
        <v>400000</v>
      </c>
      <c r="X26" s="59"/>
      <c r="Y26" s="60" t="s">
        <v>182</v>
      </c>
      <c r="Z26" s="60"/>
    </row>
    <row r="27" spans="1:26" x14ac:dyDescent="0.35">
      <c r="A27" s="59" t="s">
        <v>144</v>
      </c>
      <c r="B27" s="61">
        <f>B26</f>
        <v>47453</v>
      </c>
      <c r="C27" s="63">
        <f>100000*12</f>
        <v>1200000</v>
      </c>
      <c r="D27" s="62">
        <f>C27/130</f>
        <v>9230.7692307692305</v>
      </c>
      <c r="E27" s="59">
        <v>12</v>
      </c>
      <c r="F27" s="64">
        <f>D27/E27*1.2</f>
        <v>923.07692307692298</v>
      </c>
      <c r="G27" s="64">
        <f>F27/20</f>
        <v>46.153846153846146</v>
      </c>
      <c r="I27" s="59" t="s">
        <v>155</v>
      </c>
      <c r="J27" s="64">
        <f>J26*J29</f>
        <v>15191.208791208788</v>
      </c>
      <c r="K27" s="64"/>
      <c r="L27" s="64">
        <f t="shared" ref="L27" si="36">L26*L29</f>
        <v>15665.934065934063</v>
      </c>
      <c r="M27" s="64">
        <f t="shared" ref="M27" si="37">M26*M29</f>
        <v>16140.659340659337</v>
      </c>
      <c r="N27" s="64">
        <f t="shared" ref="N27" si="38">N26*N29</f>
        <v>16615.384615384613</v>
      </c>
      <c r="O27" s="64">
        <f t="shared" ref="O27" si="39">O26*O29</f>
        <v>17090.109890109885</v>
      </c>
      <c r="P27" s="64">
        <f t="shared" ref="P27" si="40">P26*P29</f>
        <v>17564.83516483516</v>
      </c>
      <c r="Q27" s="64">
        <f t="shared" ref="Q27" si="41">Q26*Q29</f>
        <v>18039.560439560435</v>
      </c>
      <c r="R27" s="64">
        <f t="shared" ref="R27" si="42">R26*R29</f>
        <v>18514.28571428571</v>
      </c>
      <c r="S27" s="64">
        <f t="shared" ref="S27" si="43">S26*S29</f>
        <v>18989.010989010985</v>
      </c>
      <c r="T27" s="64">
        <f t="shared" ref="T27" si="44">T26*T29</f>
        <v>18989.010989010985</v>
      </c>
      <c r="U27" s="64">
        <f t="shared" ref="U27" si="45">U26*U29</f>
        <v>18989.010989010985</v>
      </c>
      <c r="V27" s="64">
        <f>V26*V29</f>
        <v>18989.010989010985</v>
      </c>
      <c r="W27" s="64">
        <f>SUM(J27:V27)*0.8</f>
        <v>168622.41758241752</v>
      </c>
      <c r="X27" s="64">
        <f>W27-D29</f>
        <v>125853.18681318675</v>
      </c>
      <c r="Y27" s="1">
        <v>47483</v>
      </c>
      <c r="Z27" s="74">
        <f ca="1">Y27-TODAY()</f>
        <v>1312</v>
      </c>
    </row>
    <row r="28" spans="1:26" x14ac:dyDescent="0.35">
      <c r="A28" s="59" t="s">
        <v>151</v>
      </c>
      <c r="B28" s="61">
        <f>B27</f>
        <v>47453</v>
      </c>
      <c r="C28" s="63">
        <v>4000000</v>
      </c>
      <c r="D28" s="62">
        <f>C28/130</f>
        <v>30769.23076923077</v>
      </c>
      <c r="E28" s="59">
        <v>12</v>
      </c>
      <c r="F28" s="64">
        <f>D28/E28*1.2</f>
        <v>3076.9230769230767</v>
      </c>
      <c r="G28" s="64">
        <f>F28/20</f>
        <v>153.84615384615384</v>
      </c>
      <c r="I28" s="59" t="s">
        <v>156</v>
      </c>
      <c r="J28" s="64">
        <f>J27/20</f>
        <v>759.56043956043936</v>
      </c>
      <c r="K28" s="64"/>
      <c r="L28" s="64">
        <f t="shared" ref="L28:Q28" si="46">L27/20</f>
        <v>783.29670329670319</v>
      </c>
      <c r="M28" s="64">
        <f t="shared" si="46"/>
        <v>807.03296703296678</v>
      </c>
      <c r="N28" s="64">
        <f t="shared" si="46"/>
        <v>830.76923076923072</v>
      </c>
      <c r="O28" s="64">
        <f t="shared" si="46"/>
        <v>854.5054945054942</v>
      </c>
      <c r="P28" s="64">
        <f t="shared" si="46"/>
        <v>878.24175824175802</v>
      </c>
      <c r="Q28" s="64">
        <f t="shared" si="46"/>
        <v>901.97802197802173</v>
      </c>
      <c r="R28" s="64">
        <f t="shared" ref="R28" si="47">R27/20</f>
        <v>925.71428571428555</v>
      </c>
      <c r="S28" s="64">
        <f t="shared" ref="S28" si="48">S27/20</f>
        <v>949.45054945054926</v>
      </c>
      <c r="T28" s="64">
        <f t="shared" ref="T28" si="49">T27/20</f>
        <v>949.45054945054926</v>
      </c>
      <c r="U28" s="64">
        <f t="shared" ref="U28" si="50">U27/20</f>
        <v>949.45054945054926</v>
      </c>
      <c r="V28" s="64">
        <f>V27/20</f>
        <v>949.45054945054926</v>
      </c>
      <c r="W28" s="59"/>
      <c r="X28" s="59"/>
    </row>
    <row r="29" spans="1:26" x14ac:dyDescent="0.35">
      <c r="A29" s="65" t="s">
        <v>63</v>
      </c>
      <c r="B29" s="65"/>
      <c r="C29" s="66">
        <f>SUM(C26:C28)</f>
        <v>5560000</v>
      </c>
      <c r="D29" s="68">
        <f>SUM(D26:D28)</f>
        <v>42769.230769230766</v>
      </c>
      <c r="E29" s="65"/>
      <c r="F29" s="67">
        <f>SUM(F26:F28)</f>
        <v>4276.9230769230762</v>
      </c>
      <c r="G29" s="67">
        <f>SUM(G26:G28)</f>
        <v>213.84615384615384</v>
      </c>
      <c r="I29" s="59" t="s">
        <v>158</v>
      </c>
      <c r="J29" s="49">
        <f>J21</f>
        <v>4.7472527472527462E-2</v>
      </c>
      <c r="K29" s="49"/>
      <c r="L29" s="49">
        <f>J29</f>
        <v>4.7472527472527462E-2</v>
      </c>
      <c r="M29" s="49">
        <f>L29</f>
        <v>4.7472527472527462E-2</v>
      </c>
      <c r="N29" s="49">
        <f t="shared" ref="N29:V29" si="51">M29</f>
        <v>4.7472527472527462E-2</v>
      </c>
      <c r="O29" s="49">
        <f t="shared" si="51"/>
        <v>4.7472527472527462E-2</v>
      </c>
      <c r="P29" s="49">
        <f t="shared" si="51"/>
        <v>4.7472527472527462E-2</v>
      </c>
      <c r="Q29" s="49">
        <f t="shared" si="51"/>
        <v>4.7472527472527462E-2</v>
      </c>
      <c r="R29" s="49">
        <f t="shared" si="51"/>
        <v>4.7472527472527462E-2</v>
      </c>
      <c r="S29" s="49">
        <f t="shared" si="51"/>
        <v>4.7472527472527462E-2</v>
      </c>
      <c r="T29" s="49">
        <f t="shared" si="51"/>
        <v>4.7472527472527462E-2</v>
      </c>
      <c r="U29" s="49">
        <f t="shared" si="51"/>
        <v>4.7472527472527462E-2</v>
      </c>
      <c r="V29" s="49">
        <f t="shared" si="51"/>
        <v>4.7472527472527462E-2</v>
      </c>
      <c r="W29" s="59"/>
      <c r="X29" s="59"/>
    </row>
    <row r="30" spans="1:26" s="59" customFormat="1" x14ac:dyDescent="0.35">
      <c r="I30" s="59" t="s">
        <v>168</v>
      </c>
      <c r="J30" s="69">
        <f>J28/J26</f>
        <v>2.3736263736263731E-3</v>
      </c>
      <c r="K30" s="69"/>
      <c r="L30" s="69">
        <f t="shared" ref="L30:V30" si="52">L28/L26</f>
        <v>2.3736263736263731E-3</v>
      </c>
      <c r="M30" s="69">
        <f t="shared" si="52"/>
        <v>2.3736263736263727E-3</v>
      </c>
      <c r="N30" s="69">
        <f t="shared" si="52"/>
        <v>2.3736263736263735E-3</v>
      </c>
      <c r="O30" s="69">
        <f t="shared" si="52"/>
        <v>2.3736263736263727E-3</v>
      </c>
      <c r="P30" s="69">
        <f t="shared" si="52"/>
        <v>2.3736263736263731E-3</v>
      </c>
      <c r="Q30" s="69">
        <f t="shared" si="52"/>
        <v>2.3736263736263731E-3</v>
      </c>
      <c r="R30" s="69">
        <f t="shared" si="52"/>
        <v>2.3736263736263731E-3</v>
      </c>
      <c r="S30" s="69">
        <f t="shared" si="52"/>
        <v>2.3736263736263731E-3</v>
      </c>
      <c r="T30" s="69">
        <f t="shared" si="52"/>
        <v>2.3736263736263731E-3</v>
      </c>
      <c r="U30" s="69">
        <f t="shared" si="52"/>
        <v>2.3736263736263731E-3</v>
      </c>
      <c r="V30" s="69">
        <f t="shared" si="52"/>
        <v>2.3736263736263731E-3</v>
      </c>
    </row>
    <row r="31" spans="1:26" s="59" customFormat="1" x14ac:dyDescent="0.35">
      <c r="I31" s="59" t="s">
        <v>169</v>
      </c>
      <c r="J31" s="69">
        <v>5.0000000000000001E-3</v>
      </c>
      <c r="K31" s="69"/>
      <c r="L31" s="69">
        <v>5.0000000000000001E-3</v>
      </c>
      <c r="M31" s="69">
        <v>5.0000000000000001E-3</v>
      </c>
      <c r="N31" s="69">
        <v>5.0000000000000001E-3</v>
      </c>
      <c r="O31" s="69">
        <v>5.0000000000000001E-3</v>
      </c>
      <c r="P31" s="69">
        <v>5.0000000000000001E-3</v>
      </c>
      <c r="Q31" s="69">
        <v>5.0000000000000001E-3</v>
      </c>
      <c r="R31" s="69">
        <v>5.0000000000000001E-3</v>
      </c>
      <c r="S31" s="69">
        <v>5.0000000000000001E-3</v>
      </c>
      <c r="T31" s="69">
        <v>5.0000000000000001E-3</v>
      </c>
      <c r="U31" s="69">
        <v>5.0000000000000001E-3</v>
      </c>
      <c r="V31" s="69">
        <v>5.0000000000000001E-3</v>
      </c>
    </row>
    <row r="32" spans="1:26" x14ac:dyDescent="0.35">
      <c r="V32" s="64"/>
    </row>
  </sheetData>
  <conditionalFormatting sqref="R3">
    <cfRule type="cellIs" dxfId="3" priority="4" operator="greaterThan">
      <formula>$D$4</formula>
    </cfRule>
  </conditionalFormatting>
  <conditionalFormatting sqref="W11">
    <cfRule type="cellIs" dxfId="2" priority="3" operator="greaterThan">
      <formula>$D$4</formula>
    </cfRule>
  </conditionalFormatting>
  <conditionalFormatting sqref="W27">
    <cfRule type="cellIs" dxfId="1" priority="1" operator="greaterThan">
      <formula>$D$4</formula>
    </cfRule>
  </conditionalFormatting>
  <conditionalFormatting sqref="W19">
    <cfRule type="cellIs" dxfId="0" priority="2" operator="greaterThan">
      <formula>$D$4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2" topLeftCell="A3" activePane="bottomLeft" state="frozen"/>
      <selection pane="bottomLeft" activeCell="D4" sqref="D4"/>
    </sheetView>
  </sheetViews>
  <sheetFormatPr defaultRowHeight="14.5" x14ac:dyDescent="0.35"/>
  <cols>
    <col min="1" max="1" width="11.7265625" bestFit="1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0.81640625" style="29" bestFit="1" customWidth="1"/>
    <col min="9" max="9" width="11.54296875" bestFit="1" customWidth="1"/>
    <col min="10" max="11" width="14.1796875" bestFit="1" customWidth="1"/>
    <col min="12" max="12" width="16.1796875" bestFit="1" customWidth="1"/>
  </cols>
  <sheetData>
    <row r="1" spans="1:12" x14ac:dyDescent="0.35">
      <c r="B1" t="s">
        <v>64</v>
      </c>
      <c r="D1" s="19">
        <v>10000</v>
      </c>
    </row>
    <row r="2" spans="1:12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s="29" t="s">
        <v>68</v>
      </c>
      <c r="I2" t="s">
        <v>103</v>
      </c>
      <c r="J2" t="s">
        <v>104</v>
      </c>
      <c r="K2" t="s">
        <v>100</v>
      </c>
      <c r="L2" t="s">
        <v>101</v>
      </c>
    </row>
    <row r="3" spans="1:12" x14ac:dyDescent="0.35">
      <c r="B3" s="1"/>
      <c r="C3" s="19"/>
      <c r="D3" s="19"/>
      <c r="E3" s="22"/>
      <c r="F3" s="19"/>
      <c r="G3" s="19"/>
      <c r="H3" s="30"/>
      <c r="I3" s="19"/>
      <c r="J3" s="19"/>
      <c r="K3" s="19"/>
      <c r="L3" s="19"/>
    </row>
    <row r="4" spans="1:12" x14ac:dyDescent="0.35">
      <c r="A4" t="s">
        <v>105</v>
      </c>
      <c r="B4" s="1">
        <v>46082</v>
      </c>
      <c r="C4" s="19"/>
      <c r="D4" s="19"/>
      <c r="E4" s="22">
        <f>D1*2.4%</f>
        <v>240</v>
      </c>
      <c r="F4" s="19">
        <f>D1+E4</f>
        <v>10240</v>
      </c>
      <c r="G4" s="19"/>
      <c r="H4" s="30">
        <f>(10000)*2.4%</f>
        <v>240</v>
      </c>
      <c r="I4" s="19"/>
      <c r="J4" s="19">
        <f t="shared" ref="J4:J13" si="0">I4*128</f>
        <v>0</v>
      </c>
      <c r="K4" s="19">
        <f t="shared" ref="K4:K13" si="1">G4-10000-200</f>
        <v>-10200</v>
      </c>
      <c r="L4" s="19">
        <f t="shared" ref="L4:L13" si="2">K4*128</f>
        <v>-1305600</v>
      </c>
    </row>
    <row r="5" spans="1:12" x14ac:dyDescent="0.35">
      <c r="A5" t="s">
        <v>106</v>
      </c>
      <c r="B5" s="1">
        <f t="shared" ref="B5:B13" si="3">B4+1</f>
        <v>46083</v>
      </c>
      <c r="C5" s="19">
        <f t="shared" ref="C5:C13" si="4">E4</f>
        <v>240</v>
      </c>
      <c r="D5" s="19">
        <f t="shared" ref="D5:D13" si="5">D4</f>
        <v>0</v>
      </c>
      <c r="E5" s="22">
        <f t="shared" ref="E5:E13" si="6">C5+D5</f>
        <v>240</v>
      </c>
      <c r="F5" s="19">
        <f t="shared" ref="F5:F13" si="7">F4+D5</f>
        <v>10240</v>
      </c>
      <c r="G5" s="19"/>
      <c r="H5" s="30">
        <f t="shared" ref="H5:H13" si="8">(F5-10000)*2.4</f>
        <v>576</v>
      </c>
      <c r="I5" s="19">
        <f t="shared" ref="I5:I13" si="9">F5-$D$1-200</f>
        <v>40</v>
      </c>
      <c r="J5" s="19">
        <f t="shared" si="0"/>
        <v>5120</v>
      </c>
      <c r="K5" s="19">
        <f t="shared" si="1"/>
        <v>-10200</v>
      </c>
      <c r="L5" s="19">
        <f t="shared" si="2"/>
        <v>-1305600</v>
      </c>
    </row>
    <row r="6" spans="1:12" x14ac:dyDescent="0.35">
      <c r="A6" t="s">
        <v>107</v>
      </c>
      <c r="B6" s="1">
        <f t="shared" si="3"/>
        <v>46084</v>
      </c>
      <c r="C6" s="19">
        <f t="shared" si="4"/>
        <v>240</v>
      </c>
      <c r="D6" s="19">
        <f t="shared" si="5"/>
        <v>0</v>
      </c>
      <c r="E6" s="22">
        <f t="shared" si="6"/>
        <v>240</v>
      </c>
      <c r="F6" s="19">
        <f t="shared" si="7"/>
        <v>10240</v>
      </c>
      <c r="G6" s="19"/>
      <c r="H6" s="30">
        <f t="shared" si="8"/>
        <v>576</v>
      </c>
      <c r="I6" s="19">
        <f t="shared" si="9"/>
        <v>40</v>
      </c>
      <c r="J6" s="19">
        <f t="shared" si="0"/>
        <v>5120</v>
      </c>
      <c r="K6" s="19">
        <f t="shared" si="1"/>
        <v>-10200</v>
      </c>
      <c r="L6" s="19">
        <f t="shared" si="2"/>
        <v>-1305600</v>
      </c>
    </row>
    <row r="7" spans="1:12" x14ac:dyDescent="0.35">
      <c r="A7" t="s">
        <v>108</v>
      </c>
      <c r="B7" s="1">
        <f t="shared" si="3"/>
        <v>46085</v>
      </c>
      <c r="C7" s="19">
        <f t="shared" si="4"/>
        <v>240</v>
      </c>
      <c r="D7" s="19">
        <f t="shared" si="5"/>
        <v>0</v>
      </c>
      <c r="E7" s="22">
        <f t="shared" si="6"/>
        <v>240</v>
      </c>
      <c r="F7" s="19">
        <f t="shared" si="7"/>
        <v>10240</v>
      </c>
      <c r="G7" s="19"/>
      <c r="H7" s="30">
        <f t="shared" si="8"/>
        <v>576</v>
      </c>
      <c r="I7" s="19">
        <f t="shared" si="9"/>
        <v>40</v>
      </c>
      <c r="J7" s="19">
        <f t="shared" si="0"/>
        <v>5120</v>
      </c>
      <c r="K7" s="19">
        <f t="shared" si="1"/>
        <v>-10200</v>
      </c>
      <c r="L7" s="19">
        <f t="shared" si="2"/>
        <v>-1305600</v>
      </c>
    </row>
    <row r="8" spans="1:12" x14ac:dyDescent="0.35">
      <c r="A8" t="s">
        <v>109</v>
      </c>
      <c r="B8" s="1">
        <f t="shared" si="3"/>
        <v>46086</v>
      </c>
      <c r="C8" s="19">
        <f t="shared" si="4"/>
        <v>240</v>
      </c>
      <c r="D8" s="19">
        <f t="shared" si="5"/>
        <v>0</v>
      </c>
      <c r="E8" s="22">
        <f t="shared" si="6"/>
        <v>240</v>
      </c>
      <c r="F8" s="19">
        <f t="shared" si="7"/>
        <v>10240</v>
      </c>
      <c r="G8" s="19"/>
      <c r="H8" s="30">
        <f t="shared" si="8"/>
        <v>576</v>
      </c>
      <c r="I8" s="19">
        <f t="shared" si="9"/>
        <v>40</v>
      </c>
      <c r="J8" s="19">
        <f t="shared" si="0"/>
        <v>5120</v>
      </c>
      <c r="K8" s="19">
        <f t="shared" si="1"/>
        <v>-10200</v>
      </c>
      <c r="L8" s="19">
        <f t="shared" si="2"/>
        <v>-1305600</v>
      </c>
    </row>
    <row r="9" spans="1:12" x14ac:dyDescent="0.35">
      <c r="A9" t="s">
        <v>110</v>
      </c>
      <c r="B9" s="1">
        <f t="shared" si="3"/>
        <v>46087</v>
      </c>
      <c r="C9" s="19">
        <f t="shared" si="4"/>
        <v>240</v>
      </c>
      <c r="D9" s="19">
        <f t="shared" si="5"/>
        <v>0</v>
      </c>
      <c r="E9" s="22">
        <f t="shared" si="6"/>
        <v>240</v>
      </c>
      <c r="F9" s="19">
        <f t="shared" si="7"/>
        <v>10240</v>
      </c>
      <c r="G9" s="19"/>
      <c r="H9" s="30">
        <f t="shared" si="8"/>
        <v>576</v>
      </c>
      <c r="I9" s="19">
        <f t="shared" si="9"/>
        <v>40</v>
      </c>
      <c r="J9" s="19">
        <f t="shared" si="0"/>
        <v>5120</v>
      </c>
      <c r="K9" s="19">
        <f t="shared" si="1"/>
        <v>-10200</v>
      </c>
      <c r="L9" s="19">
        <f t="shared" si="2"/>
        <v>-1305600</v>
      </c>
    </row>
    <row r="10" spans="1:12" x14ac:dyDescent="0.35">
      <c r="A10" t="s">
        <v>111</v>
      </c>
      <c r="B10" s="1">
        <f t="shared" si="3"/>
        <v>46088</v>
      </c>
      <c r="C10" s="19">
        <f t="shared" si="4"/>
        <v>240</v>
      </c>
      <c r="D10" s="19">
        <f t="shared" si="5"/>
        <v>0</v>
      </c>
      <c r="E10" s="22">
        <f t="shared" si="6"/>
        <v>240</v>
      </c>
      <c r="F10" s="19">
        <f t="shared" si="7"/>
        <v>10240</v>
      </c>
      <c r="G10" s="19"/>
      <c r="H10" s="30">
        <f t="shared" si="8"/>
        <v>576</v>
      </c>
      <c r="I10" s="19">
        <f t="shared" si="9"/>
        <v>40</v>
      </c>
      <c r="J10" s="19">
        <f t="shared" si="0"/>
        <v>5120</v>
      </c>
      <c r="K10" s="19">
        <f t="shared" si="1"/>
        <v>-10200</v>
      </c>
      <c r="L10" s="19">
        <f t="shared" si="2"/>
        <v>-1305600</v>
      </c>
    </row>
    <row r="11" spans="1:12" x14ac:dyDescent="0.35">
      <c r="A11" t="s">
        <v>112</v>
      </c>
      <c r="B11" s="1">
        <f t="shared" si="3"/>
        <v>46089</v>
      </c>
      <c r="C11" s="19">
        <f t="shared" si="4"/>
        <v>240</v>
      </c>
      <c r="D11" s="19">
        <f t="shared" si="5"/>
        <v>0</v>
      </c>
      <c r="E11" s="22">
        <f t="shared" si="6"/>
        <v>240</v>
      </c>
      <c r="F11" s="19">
        <f t="shared" si="7"/>
        <v>10240</v>
      </c>
      <c r="G11" s="19"/>
      <c r="H11" s="30">
        <f t="shared" si="8"/>
        <v>576</v>
      </c>
      <c r="I11" s="19">
        <f t="shared" si="9"/>
        <v>40</v>
      </c>
      <c r="J11" s="19">
        <f t="shared" si="0"/>
        <v>5120</v>
      </c>
      <c r="K11" s="19">
        <f t="shared" si="1"/>
        <v>-10200</v>
      </c>
      <c r="L11" s="19">
        <f t="shared" si="2"/>
        <v>-1305600</v>
      </c>
    </row>
    <row r="12" spans="1:12" x14ac:dyDescent="0.35">
      <c r="A12" t="s">
        <v>113</v>
      </c>
      <c r="B12" s="1">
        <f t="shared" si="3"/>
        <v>46090</v>
      </c>
      <c r="C12" s="19">
        <f t="shared" si="4"/>
        <v>240</v>
      </c>
      <c r="D12" s="19">
        <f t="shared" si="5"/>
        <v>0</v>
      </c>
      <c r="E12" s="22">
        <f t="shared" si="6"/>
        <v>240</v>
      </c>
      <c r="F12" s="19">
        <f t="shared" si="7"/>
        <v>10240</v>
      </c>
      <c r="G12" s="19"/>
      <c r="H12" s="30">
        <f t="shared" si="8"/>
        <v>576</v>
      </c>
      <c r="I12" s="19">
        <f t="shared" si="9"/>
        <v>40</v>
      </c>
      <c r="J12" s="19">
        <f t="shared" si="0"/>
        <v>5120</v>
      </c>
      <c r="K12" s="19">
        <f t="shared" si="1"/>
        <v>-10200</v>
      </c>
      <c r="L12" s="19">
        <f t="shared" si="2"/>
        <v>-1305600</v>
      </c>
    </row>
    <row r="13" spans="1:12" x14ac:dyDescent="0.35">
      <c r="A13" t="s">
        <v>114</v>
      </c>
      <c r="B13" s="1">
        <f t="shared" si="3"/>
        <v>46091</v>
      </c>
      <c r="C13" s="19">
        <f t="shared" si="4"/>
        <v>240</v>
      </c>
      <c r="D13" s="19">
        <f t="shared" si="5"/>
        <v>0</v>
      </c>
      <c r="E13" s="22">
        <f t="shared" si="6"/>
        <v>240</v>
      </c>
      <c r="F13" s="19">
        <f t="shared" si="7"/>
        <v>10240</v>
      </c>
      <c r="G13" s="19"/>
      <c r="H13" s="30">
        <f t="shared" si="8"/>
        <v>576</v>
      </c>
      <c r="I13" s="19">
        <f t="shared" si="9"/>
        <v>40</v>
      </c>
      <c r="J13" s="19">
        <f t="shared" si="0"/>
        <v>5120</v>
      </c>
      <c r="K13" s="19">
        <f t="shared" si="1"/>
        <v>-10200</v>
      </c>
      <c r="L13" s="19">
        <f t="shared" si="2"/>
        <v>-1305600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B1" workbookViewId="0">
      <pane ySplit="2" topLeftCell="A3" activePane="bottomLeft" state="frozen"/>
      <selection pane="bottomLeft" activeCell="K62" sqref="K62"/>
    </sheetView>
  </sheetViews>
  <sheetFormatPr defaultRowHeight="14.5" x14ac:dyDescent="0.35"/>
  <cols>
    <col min="1" max="1" width="14.81640625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1.54296875" bestFit="1" customWidth="1"/>
    <col min="9" max="10" width="14.1796875" bestFit="1" customWidth="1"/>
    <col min="11" max="11" width="16.1796875" bestFit="1" customWidth="1"/>
    <col min="12" max="12" width="8.81640625" bestFit="1" customWidth="1"/>
    <col min="13" max="13" width="11.81640625" bestFit="1" customWidth="1"/>
    <col min="14" max="14" width="3.81640625" bestFit="1" customWidth="1"/>
  </cols>
  <sheetData>
    <row r="1" spans="1:11" x14ac:dyDescent="0.35">
      <c r="B1" t="s">
        <v>64</v>
      </c>
      <c r="D1" s="19">
        <v>10000</v>
      </c>
    </row>
    <row r="2" spans="1:11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t="s">
        <v>103</v>
      </c>
      <c r="I2" t="s">
        <v>104</v>
      </c>
      <c r="J2" t="s">
        <v>100</v>
      </c>
      <c r="K2" t="s">
        <v>101</v>
      </c>
    </row>
    <row r="3" spans="1:11" x14ac:dyDescent="0.35">
      <c r="A3" t="s">
        <v>75</v>
      </c>
      <c r="B3" s="1">
        <v>46024</v>
      </c>
      <c r="C3" s="19">
        <f>D3</f>
        <v>150</v>
      </c>
      <c r="D3" s="19">
        <v>150</v>
      </c>
      <c r="E3" s="22">
        <f>C3</f>
        <v>150</v>
      </c>
      <c r="F3" s="19">
        <f>D1+D3</f>
        <v>10150</v>
      </c>
      <c r="G3" s="19"/>
    </row>
    <row r="4" spans="1:11" x14ac:dyDescent="0.35">
      <c r="A4" t="s">
        <v>76</v>
      </c>
      <c r="B4" s="1">
        <f>B3+3</f>
        <v>46027</v>
      </c>
      <c r="C4" s="19">
        <f>E3</f>
        <v>150</v>
      </c>
      <c r="D4" s="19">
        <f>D3</f>
        <v>150</v>
      </c>
      <c r="E4" s="22">
        <f>C4+D4</f>
        <v>300</v>
      </c>
      <c r="F4" s="19">
        <f t="shared" ref="F4:F42" si="0">F3+D4</f>
        <v>10300</v>
      </c>
      <c r="G4" s="19"/>
    </row>
    <row r="5" spans="1:11" x14ac:dyDescent="0.35">
      <c r="A5" t="s">
        <v>77</v>
      </c>
      <c r="B5" s="1">
        <f t="shared" ref="B5:B23" si="1">B4+1</f>
        <v>46028</v>
      </c>
      <c r="C5" s="19">
        <f>E4</f>
        <v>300</v>
      </c>
      <c r="D5" s="19">
        <f t="shared" ref="D5:D23" si="2">D4</f>
        <v>150</v>
      </c>
      <c r="E5" s="22">
        <f>C5+D5</f>
        <v>450</v>
      </c>
      <c r="F5" s="19">
        <f t="shared" si="0"/>
        <v>10450</v>
      </c>
      <c r="G5" s="19"/>
    </row>
    <row r="6" spans="1:11" x14ac:dyDescent="0.35">
      <c r="A6" t="s">
        <v>78</v>
      </c>
      <c r="B6" s="1">
        <f>B5+1</f>
        <v>46029</v>
      </c>
      <c r="C6" s="19">
        <f t="shared" ref="C6:C21" si="3">E5</f>
        <v>450</v>
      </c>
      <c r="D6" s="19">
        <f t="shared" si="2"/>
        <v>150</v>
      </c>
      <c r="E6" s="22">
        <f t="shared" ref="E6:E23" si="4">C6+D6</f>
        <v>600</v>
      </c>
      <c r="F6" s="19">
        <f t="shared" si="0"/>
        <v>10600</v>
      </c>
      <c r="G6" s="19"/>
    </row>
    <row r="7" spans="1:11" x14ac:dyDescent="0.35">
      <c r="A7" t="s">
        <v>79</v>
      </c>
      <c r="B7" s="1">
        <f>B6+1</f>
        <v>46030</v>
      </c>
      <c r="C7" s="19">
        <f t="shared" si="3"/>
        <v>600</v>
      </c>
      <c r="D7" s="19">
        <f t="shared" si="2"/>
        <v>150</v>
      </c>
      <c r="E7" s="22">
        <f t="shared" si="4"/>
        <v>750</v>
      </c>
      <c r="F7" s="19">
        <f t="shared" si="0"/>
        <v>10750</v>
      </c>
      <c r="G7" s="19"/>
    </row>
    <row r="8" spans="1:11" x14ac:dyDescent="0.35">
      <c r="A8" t="s">
        <v>80</v>
      </c>
      <c r="B8" s="1">
        <f t="shared" si="1"/>
        <v>46031</v>
      </c>
      <c r="C8" s="19">
        <f t="shared" si="3"/>
        <v>750</v>
      </c>
      <c r="D8" s="19">
        <f t="shared" si="2"/>
        <v>150</v>
      </c>
      <c r="E8" s="22">
        <f t="shared" si="4"/>
        <v>900</v>
      </c>
      <c r="F8" s="19">
        <f t="shared" si="0"/>
        <v>10900</v>
      </c>
      <c r="G8" s="19"/>
    </row>
    <row r="9" spans="1:11" x14ac:dyDescent="0.35">
      <c r="A9" s="45" t="s">
        <v>81</v>
      </c>
      <c r="B9" s="25">
        <f>B8+3</f>
        <v>46034</v>
      </c>
      <c r="C9" s="26">
        <f t="shared" si="3"/>
        <v>900</v>
      </c>
      <c r="D9" s="26">
        <f t="shared" si="2"/>
        <v>150</v>
      </c>
      <c r="E9" s="26">
        <f t="shared" si="4"/>
        <v>1050</v>
      </c>
      <c r="F9" s="26">
        <f t="shared" si="0"/>
        <v>11050</v>
      </c>
      <c r="G9" s="19"/>
    </row>
    <row r="10" spans="1:11" x14ac:dyDescent="0.35">
      <c r="A10" t="s">
        <v>70</v>
      </c>
      <c r="B10" s="1">
        <f>B9+1</f>
        <v>46035</v>
      </c>
      <c r="C10" s="19">
        <f t="shared" si="3"/>
        <v>1050</v>
      </c>
      <c r="D10" s="19">
        <f t="shared" si="2"/>
        <v>150</v>
      </c>
      <c r="E10" s="22">
        <f>D10</f>
        <v>150</v>
      </c>
      <c r="F10" s="19">
        <f>D10+D1</f>
        <v>10150</v>
      </c>
      <c r="G10" s="19"/>
    </row>
    <row r="11" spans="1:11" x14ac:dyDescent="0.35">
      <c r="A11" s="12" t="s">
        <v>71</v>
      </c>
      <c r="B11" s="23">
        <f t="shared" si="1"/>
        <v>46036</v>
      </c>
      <c r="C11" s="24">
        <f t="shared" si="3"/>
        <v>150</v>
      </c>
      <c r="D11" s="24">
        <f t="shared" si="2"/>
        <v>150</v>
      </c>
      <c r="E11" s="24">
        <f t="shared" si="4"/>
        <v>300</v>
      </c>
      <c r="F11" s="24">
        <f t="shared" si="0"/>
        <v>10300</v>
      </c>
      <c r="G11" s="19"/>
    </row>
    <row r="12" spans="1:11" x14ac:dyDescent="0.35">
      <c r="A12" t="s">
        <v>72</v>
      </c>
      <c r="B12" s="23">
        <f>B11+1</f>
        <v>46037</v>
      </c>
      <c r="C12" s="24">
        <f>E11</f>
        <v>300</v>
      </c>
      <c r="D12" s="24">
        <f>D11</f>
        <v>150</v>
      </c>
      <c r="E12" s="24">
        <f t="shared" si="4"/>
        <v>450</v>
      </c>
      <c r="F12" s="24">
        <f t="shared" si="0"/>
        <v>10450</v>
      </c>
      <c r="G12" s="19"/>
    </row>
    <row r="13" spans="1:11" x14ac:dyDescent="0.35">
      <c r="A13" s="45" t="s">
        <v>73</v>
      </c>
      <c r="B13" s="25">
        <f t="shared" si="1"/>
        <v>46038</v>
      </c>
      <c r="C13" s="26">
        <f t="shared" si="3"/>
        <v>450</v>
      </c>
      <c r="D13" s="26">
        <f t="shared" si="2"/>
        <v>150</v>
      </c>
      <c r="E13" s="26">
        <f t="shared" si="4"/>
        <v>600</v>
      </c>
      <c r="F13" s="26">
        <f t="shared" si="0"/>
        <v>10600</v>
      </c>
      <c r="G13" s="19"/>
    </row>
    <row r="14" spans="1:11" x14ac:dyDescent="0.35">
      <c r="A14" s="33" t="s">
        <v>115</v>
      </c>
      <c r="B14" s="34">
        <f>B13+3</f>
        <v>46041</v>
      </c>
      <c r="C14" s="35"/>
      <c r="D14" s="35"/>
      <c r="E14" s="35"/>
      <c r="F14" s="35"/>
      <c r="G14" s="19"/>
    </row>
    <row r="15" spans="1:11" x14ac:dyDescent="0.35">
      <c r="A15" t="s">
        <v>69</v>
      </c>
      <c r="B15" s="23">
        <f>B14+1</f>
        <v>46042</v>
      </c>
      <c r="C15" s="24">
        <f t="shared" si="3"/>
        <v>0</v>
      </c>
      <c r="D15" s="24">
        <f>D12</f>
        <v>150</v>
      </c>
      <c r="E15" s="24">
        <f t="shared" si="4"/>
        <v>150</v>
      </c>
      <c r="F15" s="24">
        <f>$D$1+D15</f>
        <v>10150</v>
      </c>
      <c r="G15" s="19"/>
      <c r="H15" s="19"/>
    </row>
    <row r="16" spans="1:11" x14ac:dyDescent="0.35">
      <c r="A16" t="s">
        <v>82</v>
      </c>
      <c r="B16" s="23">
        <f t="shared" si="1"/>
        <v>46043</v>
      </c>
      <c r="C16" s="24">
        <f>D15</f>
        <v>150</v>
      </c>
      <c r="D16" s="24">
        <f>D13</f>
        <v>150</v>
      </c>
      <c r="E16" s="24">
        <f t="shared" si="4"/>
        <v>300</v>
      </c>
      <c r="F16" s="24">
        <f>F15+D16</f>
        <v>10300</v>
      </c>
      <c r="G16" s="24"/>
      <c r="H16" s="19">
        <f>F16-$D$1-200</f>
        <v>100</v>
      </c>
      <c r="I16" s="19">
        <f t="shared" ref="I16:I67" si="5">H16*128</f>
        <v>12800</v>
      </c>
    </row>
    <row r="17" spans="1:14" x14ac:dyDescent="0.35">
      <c r="A17" t="s">
        <v>83</v>
      </c>
      <c r="B17" s="23">
        <f>B16+1</f>
        <v>46044</v>
      </c>
      <c r="C17" s="19">
        <f t="shared" si="3"/>
        <v>300</v>
      </c>
      <c r="D17" s="19">
        <f>D15</f>
        <v>150</v>
      </c>
      <c r="E17" s="22">
        <f t="shared" si="4"/>
        <v>450</v>
      </c>
      <c r="F17" s="24">
        <f t="shared" ref="F17:F23" si="6">F16+D17</f>
        <v>10450</v>
      </c>
      <c r="G17" s="19"/>
      <c r="H17" s="19">
        <f t="shared" ref="H17" si="7">F17-$D$1-200</f>
        <v>250</v>
      </c>
      <c r="I17" s="19">
        <f t="shared" si="5"/>
        <v>32000</v>
      </c>
      <c r="J17" s="19">
        <f t="shared" ref="J17:J23" si="8">G17-10000-200</f>
        <v>-10200</v>
      </c>
      <c r="K17" s="19">
        <f>J17*128</f>
        <v>-1305600</v>
      </c>
    </row>
    <row r="18" spans="1:14" x14ac:dyDescent="0.35">
      <c r="A18" t="s">
        <v>84</v>
      </c>
      <c r="B18" s="1">
        <f t="shared" si="1"/>
        <v>46045</v>
      </c>
      <c r="C18" s="19">
        <f t="shared" si="3"/>
        <v>450</v>
      </c>
      <c r="D18" s="19">
        <f t="shared" si="2"/>
        <v>150</v>
      </c>
      <c r="E18" s="22">
        <f t="shared" si="4"/>
        <v>600</v>
      </c>
      <c r="F18" s="24">
        <f t="shared" si="6"/>
        <v>10600</v>
      </c>
      <c r="G18" s="19"/>
      <c r="H18" s="19">
        <f>F18-$D$1-200</f>
        <v>400</v>
      </c>
      <c r="I18" s="19">
        <f t="shared" si="5"/>
        <v>51200</v>
      </c>
      <c r="J18" s="19">
        <f t="shared" si="8"/>
        <v>-10200</v>
      </c>
      <c r="K18" s="19">
        <f t="shared" ref="K18:K48" si="9">J18*128</f>
        <v>-1305600</v>
      </c>
    </row>
    <row r="19" spans="1:14" x14ac:dyDescent="0.35">
      <c r="A19" t="s">
        <v>85</v>
      </c>
      <c r="B19" s="1">
        <f>B18+3</f>
        <v>46048</v>
      </c>
      <c r="C19" s="19">
        <f t="shared" si="3"/>
        <v>600</v>
      </c>
      <c r="D19" s="19">
        <f t="shared" si="2"/>
        <v>150</v>
      </c>
      <c r="E19" s="22">
        <f t="shared" si="4"/>
        <v>750</v>
      </c>
      <c r="F19" s="24">
        <f t="shared" si="6"/>
        <v>10750</v>
      </c>
      <c r="G19" s="19"/>
      <c r="H19" s="19">
        <f>F19-$D$1-200</f>
        <v>550</v>
      </c>
      <c r="I19" s="19">
        <f t="shared" si="5"/>
        <v>70400</v>
      </c>
      <c r="J19" s="19">
        <f t="shared" si="8"/>
        <v>-10200</v>
      </c>
      <c r="K19" s="19">
        <f t="shared" si="9"/>
        <v>-1305600</v>
      </c>
    </row>
    <row r="20" spans="1:14" x14ac:dyDescent="0.35">
      <c r="A20" t="s">
        <v>86</v>
      </c>
      <c r="B20" s="1">
        <f>B19+1</f>
        <v>46049</v>
      </c>
      <c r="C20" s="19">
        <f t="shared" si="3"/>
        <v>750</v>
      </c>
      <c r="D20" s="19">
        <f t="shared" si="2"/>
        <v>150</v>
      </c>
      <c r="E20" s="22">
        <f t="shared" si="4"/>
        <v>900</v>
      </c>
      <c r="F20" s="24">
        <f t="shared" si="6"/>
        <v>10900</v>
      </c>
      <c r="G20" s="19"/>
      <c r="H20" s="19">
        <f t="shared" ref="H20:H23" si="10">F20-$D$1-200</f>
        <v>700</v>
      </c>
      <c r="I20" s="19">
        <f t="shared" si="5"/>
        <v>89600</v>
      </c>
      <c r="J20" s="19">
        <f t="shared" si="8"/>
        <v>-10200</v>
      </c>
      <c r="K20" s="19">
        <f t="shared" si="9"/>
        <v>-1305600</v>
      </c>
    </row>
    <row r="21" spans="1:14" x14ac:dyDescent="0.35">
      <c r="A21" t="s">
        <v>87</v>
      </c>
      <c r="B21" s="23">
        <f t="shared" si="1"/>
        <v>46050</v>
      </c>
      <c r="C21" s="24">
        <f t="shared" si="3"/>
        <v>900</v>
      </c>
      <c r="D21" s="24">
        <f t="shared" si="2"/>
        <v>150</v>
      </c>
      <c r="E21" s="24">
        <f>C21+D21</f>
        <v>1050</v>
      </c>
      <c r="F21" s="24">
        <f t="shared" si="6"/>
        <v>11050</v>
      </c>
      <c r="G21" s="19"/>
      <c r="H21" s="19">
        <f t="shared" si="10"/>
        <v>850</v>
      </c>
      <c r="I21" s="19">
        <f t="shared" si="5"/>
        <v>108800</v>
      </c>
      <c r="J21" s="19">
        <f t="shared" si="8"/>
        <v>-10200</v>
      </c>
      <c r="K21" s="19">
        <f t="shared" si="9"/>
        <v>-1305600</v>
      </c>
    </row>
    <row r="22" spans="1:14" x14ac:dyDescent="0.35">
      <c r="A22" t="s">
        <v>88</v>
      </c>
      <c r="B22" s="23">
        <f>B21+1</f>
        <v>46051</v>
      </c>
      <c r="C22" s="24">
        <f>E21</f>
        <v>1050</v>
      </c>
      <c r="D22" s="24">
        <f t="shared" si="2"/>
        <v>150</v>
      </c>
      <c r="E22" s="24">
        <f t="shared" si="4"/>
        <v>1200</v>
      </c>
      <c r="F22" s="24">
        <f t="shared" si="6"/>
        <v>11200</v>
      </c>
      <c r="G22" s="19"/>
      <c r="H22" s="19">
        <f t="shared" si="10"/>
        <v>1000</v>
      </c>
      <c r="I22" s="19">
        <f t="shared" si="5"/>
        <v>128000</v>
      </c>
      <c r="J22" s="19">
        <f t="shared" si="8"/>
        <v>-10200</v>
      </c>
      <c r="K22" s="19">
        <f t="shared" si="9"/>
        <v>-1305600</v>
      </c>
    </row>
    <row r="23" spans="1:14" ht="29" x14ac:dyDescent="0.35">
      <c r="A23" s="36" t="s">
        <v>117</v>
      </c>
      <c r="B23" s="1">
        <f t="shared" si="1"/>
        <v>46052</v>
      </c>
      <c r="C23" s="19">
        <f>E22</f>
        <v>1200</v>
      </c>
      <c r="D23" s="19">
        <f t="shared" si="2"/>
        <v>150</v>
      </c>
      <c r="E23" s="22">
        <f t="shared" si="4"/>
        <v>1350</v>
      </c>
      <c r="F23" s="24">
        <f t="shared" si="6"/>
        <v>11350</v>
      </c>
      <c r="G23" s="19"/>
      <c r="H23" s="19">
        <f t="shared" si="10"/>
        <v>1150</v>
      </c>
      <c r="I23" s="19">
        <f t="shared" si="5"/>
        <v>147200</v>
      </c>
      <c r="J23" s="19">
        <f t="shared" si="8"/>
        <v>-10200</v>
      </c>
      <c r="K23" s="19">
        <f t="shared" si="9"/>
        <v>-1305600</v>
      </c>
    </row>
    <row r="24" spans="1:14" x14ac:dyDescent="0.35">
      <c r="A24" s="40" t="s">
        <v>119</v>
      </c>
      <c r="B24" s="41" t="s">
        <v>120</v>
      </c>
      <c r="C24" s="40" t="s">
        <v>121</v>
      </c>
      <c r="D24" s="46" t="s">
        <v>125</v>
      </c>
      <c r="E24" s="46" t="s">
        <v>119</v>
      </c>
      <c r="F24" s="19"/>
      <c r="G24" s="19"/>
      <c r="H24" s="19"/>
      <c r="I24" s="19"/>
      <c r="J24" s="19"/>
      <c r="K24" s="19"/>
      <c r="M24">
        <v>10000</v>
      </c>
      <c r="N24">
        <v>150</v>
      </c>
    </row>
    <row r="25" spans="1:14" s="37" customFormat="1" x14ac:dyDescent="0.35">
      <c r="A25" s="37" t="s">
        <v>116</v>
      </c>
      <c r="B25" s="38">
        <f>B23+3</f>
        <v>46055</v>
      </c>
      <c r="C25" s="39">
        <v>0</v>
      </c>
      <c r="D25" s="39">
        <v>0</v>
      </c>
      <c r="E25" s="39">
        <v>0</v>
      </c>
      <c r="F25" s="39">
        <v>0</v>
      </c>
      <c r="G25" s="39"/>
      <c r="H25" s="39" t="s">
        <v>123</v>
      </c>
      <c r="I25" s="39" t="e">
        <f t="shared" si="5"/>
        <v>#VALUE!</v>
      </c>
      <c r="J25" s="39"/>
      <c r="K25" s="39">
        <f t="shared" si="9"/>
        <v>0</v>
      </c>
      <c r="M25" s="37">
        <v>35000</v>
      </c>
      <c r="N25" s="37">
        <f>(M25*N24)/M24</f>
        <v>525</v>
      </c>
    </row>
    <row r="26" spans="1:14" s="37" customFormat="1" x14ac:dyDescent="0.35">
      <c r="A26" s="37" t="s">
        <v>118</v>
      </c>
      <c r="B26" s="38">
        <f>B25+1</f>
        <v>46056</v>
      </c>
      <c r="C26" s="39">
        <f t="shared" ref="C26:C67" si="11">E25</f>
        <v>0</v>
      </c>
      <c r="D26" s="39">
        <v>0</v>
      </c>
      <c r="E26" s="39">
        <f t="shared" ref="E26" si="12">C26+D26</f>
        <v>0</v>
      </c>
      <c r="F26" s="39">
        <f t="shared" si="0"/>
        <v>0</v>
      </c>
      <c r="G26" s="39"/>
      <c r="H26" s="39">
        <v>0</v>
      </c>
      <c r="I26" s="39">
        <f t="shared" si="5"/>
        <v>0</v>
      </c>
      <c r="J26" s="39"/>
      <c r="K26" s="39">
        <f t="shared" si="9"/>
        <v>0</v>
      </c>
    </row>
    <row r="27" spans="1:14" x14ac:dyDescent="0.35">
      <c r="A27" t="s">
        <v>75</v>
      </c>
      <c r="B27" s="23">
        <f t="shared" ref="B27:B67" si="13">B26+1</f>
        <v>46057</v>
      </c>
      <c r="C27" s="19">
        <f t="shared" si="11"/>
        <v>0</v>
      </c>
      <c r="D27" s="19">
        <f>N25</f>
        <v>525</v>
      </c>
      <c r="E27" s="22">
        <f>C27+D27-150</f>
        <v>375</v>
      </c>
      <c r="F27" s="19">
        <f>F26+D27+D1</f>
        <v>10525</v>
      </c>
      <c r="G27" s="19"/>
      <c r="H27" s="19">
        <v>150</v>
      </c>
      <c r="I27" s="19"/>
      <c r="J27" s="19"/>
      <c r="K27" s="19"/>
    </row>
    <row r="28" spans="1:14" x14ac:dyDescent="0.35">
      <c r="A28" t="s">
        <v>76</v>
      </c>
      <c r="B28" s="23">
        <f t="shared" si="13"/>
        <v>46058</v>
      </c>
      <c r="C28" s="19">
        <f t="shared" si="11"/>
        <v>375</v>
      </c>
      <c r="D28" s="19">
        <f t="shared" ref="D28:D67" si="14">D27</f>
        <v>525</v>
      </c>
      <c r="E28" s="22">
        <f t="shared" ref="E28:E38" si="15">C28+D28-150</f>
        <v>750</v>
      </c>
      <c r="F28" s="19">
        <f t="shared" si="0"/>
        <v>11050</v>
      </c>
      <c r="G28" s="19"/>
      <c r="H28" s="19">
        <f>H27+150</f>
        <v>300</v>
      </c>
      <c r="I28" s="19"/>
      <c r="J28" s="19"/>
      <c r="K28" s="19"/>
    </row>
    <row r="29" spans="1:14" x14ac:dyDescent="0.35">
      <c r="A29" t="s">
        <v>77</v>
      </c>
      <c r="B29" s="23">
        <f t="shared" si="13"/>
        <v>46059</v>
      </c>
      <c r="C29" s="19">
        <f t="shared" si="11"/>
        <v>750</v>
      </c>
      <c r="D29" s="19">
        <f t="shared" si="14"/>
        <v>525</v>
      </c>
      <c r="E29" s="22">
        <f t="shared" si="15"/>
        <v>1125</v>
      </c>
      <c r="F29" s="19">
        <f t="shared" si="0"/>
        <v>11575</v>
      </c>
      <c r="G29" s="19"/>
      <c r="H29" s="19">
        <f t="shared" ref="H29:H33" si="16">H28+150</f>
        <v>450</v>
      </c>
      <c r="I29" s="19"/>
      <c r="J29" s="19"/>
      <c r="K29" s="19"/>
    </row>
    <row r="30" spans="1:14" x14ac:dyDescent="0.35">
      <c r="A30" t="s">
        <v>78</v>
      </c>
      <c r="B30" s="23">
        <f>B29+3</f>
        <v>46062</v>
      </c>
      <c r="C30" s="19">
        <f t="shared" si="11"/>
        <v>1125</v>
      </c>
      <c r="D30" s="19">
        <f t="shared" si="14"/>
        <v>525</v>
      </c>
      <c r="E30" s="22">
        <f t="shared" si="15"/>
        <v>1500</v>
      </c>
      <c r="F30" s="19">
        <f t="shared" si="0"/>
        <v>12100</v>
      </c>
      <c r="G30" s="19"/>
      <c r="H30" s="19">
        <f t="shared" si="16"/>
        <v>600</v>
      </c>
      <c r="I30" s="19"/>
      <c r="J30" s="19"/>
      <c r="K30" s="19"/>
    </row>
    <row r="31" spans="1:14" x14ac:dyDescent="0.35">
      <c r="A31" t="s">
        <v>79</v>
      </c>
      <c r="B31" s="23">
        <f t="shared" si="13"/>
        <v>46063</v>
      </c>
      <c r="C31" s="19">
        <f t="shared" si="11"/>
        <v>1500</v>
      </c>
      <c r="D31" s="19">
        <f t="shared" si="14"/>
        <v>525</v>
      </c>
      <c r="E31" s="22">
        <f t="shared" si="15"/>
        <v>1875</v>
      </c>
      <c r="F31" s="19">
        <f t="shared" si="0"/>
        <v>12625</v>
      </c>
      <c r="G31" s="19"/>
      <c r="H31" s="19">
        <f t="shared" si="16"/>
        <v>750</v>
      </c>
      <c r="I31" s="19"/>
      <c r="J31" s="19"/>
      <c r="K31" s="19"/>
    </row>
    <row r="32" spans="1:14" x14ac:dyDescent="0.35">
      <c r="A32" t="s">
        <v>80</v>
      </c>
      <c r="B32" s="1">
        <f t="shared" si="13"/>
        <v>46064</v>
      </c>
      <c r="C32" s="19">
        <f t="shared" si="11"/>
        <v>1875</v>
      </c>
      <c r="D32" s="19">
        <f t="shared" si="14"/>
        <v>525</v>
      </c>
      <c r="E32" s="22">
        <f t="shared" si="15"/>
        <v>2250</v>
      </c>
      <c r="F32" s="19">
        <f t="shared" si="0"/>
        <v>13150</v>
      </c>
      <c r="G32" s="19"/>
      <c r="H32" s="19">
        <f t="shared" si="16"/>
        <v>900</v>
      </c>
      <c r="I32" s="19"/>
      <c r="J32" s="19"/>
      <c r="K32" s="19"/>
    </row>
    <row r="33" spans="1:13" s="47" customFormat="1" x14ac:dyDescent="0.35">
      <c r="A33" s="45" t="s">
        <v>81</v>
      </c>
      <c r="B33" s="27">
        <f t="shared" si="13"/>
        <v>46065</v>
      </c>
      <c r="C33" s="28">
        <f t="shared" si="11"/>
        <v>2250</v>
      </c>
      <c r="D33" s="28">
        <f t="shared" si="14"/>
        <v>525</v>
      </c>
      <c r="E33" s="28">
        <f t="shared" si="15"/>
        <v>2625</v>
      </c>
      <c r="F33" s="28">
        <f t="shared" si="0"/>
        <v>13675</v>
      </c>
      <c r="G33" s="28"/>
      <c r="H33" s="28">
        <f t="shared" si="16"/>
        <v>1050</v>
      </c>
      <c r="I33" s="28"/>
      <c r="J33" s="28"/>
      <c r="K33" s="28"/>
    </row>
    <row r="34" spans="1:13" s="12" customFormat="1" x14ac:dyDescent="0.35">
      <c r="A34" t="s">
        <v>70</v>
      </c>
      <c r="B34" s="23">
        <f t="shared" si="13"/>
        <v>46066</v>
      </c>
      <c r="C34" s="24">
        <v>0</v>
      </c>
      <c r="D34" s="24">
        <f t="shared" si="14"/>
        <v>525</v>
      </c>
      <c r="E34" s="22">
        <f t="shared" si="15"/>
        <v>375</v>
      </c>
      <c r="F34" s="24">
        <f>F33+D34</f>
        <v>14200</v>
      </c>
      <c r="G34" s="24"/>
      <c r="H34" s="19">
        <f>H33+150</f>
        <v>1200</v>
      </c>
      <c r="I34" s="24"/>
      <c r="J34" s="24"/>
      <c r="K34" s="24"/>
    </row>
    <row r="35" spans="1:13" x14ac:dyDescent="0.35">
      <c r="A35" s="12" t="s">
        <v>71</v>
      </c>
      <c r="B35" s="1">
        <f>B34+3</f>
        <v>46069</v>
      </c>
      <c r="C35" s="19">
        <f>E34</f>
        <v>375</v>
      </c>
      <c r="D35" s="19">
        <f t="shared" si="14"/>
        <v>525</v>
      </c>
      <c r="E35" s="22">
        <f>E34+E34</f>
        <v>750</v>
      </c>
      <c r="F35" s="19">
        <f>D35+D1</f>
        <v>10525</v>
      </c>
      <c r="G35" s="19"/>
      <c r="H35" s="19">
        <f t="shared" ref="H35:H36" si="17">H34+150</f>
        <v>1350</v>
      </c>
      <c r="I35" s="19"/>
      <c r="J35" s="19"/>
      <c r="K35" s="19"/>
    </row>
    <row r="36" spans="1:13" x14ac:dyDescent="0.35">
      <c r="A36" t="s">
        <v>72</v>
      </c>
      <c r="B36" s="1">
        <f t="shared" si="13"/>
        <v>46070</v>
      </c>
      <c r="C36" s="19">
        <f t="shared" si="11"/>
        <v>750</v>
      </c>
      <c r="D36" s="19">
        <f t="shared" si="14"/>
        <v>525</v>
      </c>
      <c r="E36" s="22">
        <f t="shared" si="15"/>
        <v>1125</v>
      </c>
      <c r="F36" s="19">
        <f t="shared" si="0"/>
        <v>11050</v>
      </c>
      <c r="G36" s="19"/>
      <c r="H36" s="19">
        <f t="shared" si="17"/>
        <v>1500</v>
      </c>
      <c r="I36" s="19"/>
      <c r="J36" s="19"/>
      <c r="K36" s="19"/>
    </row>
    <row r="37" spans="1:13" s="45" customFormat="1" x14ac:dyDescent="0.35">
      <c r="A37" s="45" t="s">
        <v>73</v>
      </c>
      <c r="B37" s="25">
        <f t="shared" si="13"/>
        <v>46071</v>
      </c>
      <c r="C37" s="26">
        <f t="shared" si="11"/>
        <v>1125</v>
      </c>
      <c r="D37" s="26">
        <f t="shared" si="14"/>
        <v>525</v>
      </c>
      <c r="E37" s="26">
        <f t="shared" si="15"/>
        <v>1500</v>
      </c>
      <c r="F37" s="26">
        <f t="shared" si="0"/>
        <v>11575</v>
      </c>
      <c r="G37" s="26"/>
      <c r="H37" s="19">
        <f>H36+150</f>
        <v>1650</v>
      </c>
      <c r="I37" s="26"/>
      <c r="J37" s="26"/>
      <c r="K37" s="26"/>
    </row>
    <row r="38" spans="1:13" s="42" customFormat="1" x14ac:dyDescent="0.35">
      <c r="A38" s="42" t="s">
        <v>115</v>
      </c>
      <c r="B38" s="43">
        <f t="shared" si="13"/>
        <v>46072</v>
      </c>
      <c r="C38" s="44">
        <f t="shared" si="11"/>
        <v>1500</v>
      </c>
      <c r="D38" s="44">
        <f t="shared" si="14"/>
        <v>525</v>
      </c>
      <c r="E38" s="44">
        <f t="shared" si="15"/>
        <v>1875</v>
      </c>
      <c r="F38" s="44">
        <f t="shared" si="0"/>
        <v>12100</v>
      </c>
      <c r="G38" s="44"/>
      <c r="H38" s="19">
        <f>H37+150</f>
        <v>1800</v>
      </c>
      <c r="I38" s="44">
        <f t="shared" si="5"/>
        <v>230400</v>
      </c>
      <c r="J38" s="44"/>
      <c r="K38" s="44"/>
    </row>
    <row r="39" spans="1:13" x14ac:dyDescent="0.35">
      <c r="A39" t="s">
        <v>89</v>
      </c>
      <c r="B39" s="1">
        <f t="shared" si="13"/>
        <v>46073</v>
      </c>
      <c r="C39" s="19">
        <v>0</v>
      </c>
      <c r="D39" s="19">
        <f t="shared" si="14"/>
        <v>525</v>
      </c>
      <c r="E39" s="22">
        <f>D39</f>
        <v>525</v>
      </c>
      <c r="F39" s="19">
        <f>D1+D39</f>
        <v>10525</v>
      </c>
      <c r="G39" s="19"/>
      <c r="H39" s="19">
        <f>D39+H38</f>
        <v>2325</v>
      </c>
      <c r="I39" s="19">
        <f>H39*128</f>
        <v>297600</v>
      </c>
      <c r="J39" s="19">
        <f>G39-10000-200</f>
        <v>-10200</v>
      </c>
      <c r="K39" s="19">
        <f t="shared" si="9"/>
        <v>-1305600</v>
      </c>
    </row>
    <row r="40" spans="1:13" x14ac:dyDescent="0.35">
      <c r="A40" t="s">
        <v>90</v>
      </c>
      <c r="B40" s="1">
        <f>B39+3</f>
        <v>46076</v>
      </c>
      <c r="C40" s="19">
        <f t="shared" si="11"/>
        <v>525</v>
      </c>
      <c r="D40" s="19">
        <f>D39</f>
        <v>525</v>
      </c>
      <c r="E40" s="22">
        <f>C40+D40</f>
        <v>1050</v>
      </c>
      <c r="F40" s="19">
        <f t="shared" si="0"/>
        <v>11050</v>
      </c>
      <c r="G40" s="19"/>
      <c r="H40" s="19">
        <f>H39+D40</f>
        <v>2850</v>
      </c>
      <c r="I40" s="19">
        <f t="shared" si="5"/>
        <v>364800</v>
      </c>
      <c r="J40" s="19">
        <f>G40-10000-200</f>
        <v>-10200</v>
      </c>
      <c r="K40" s="19">
        <f t="shared" si="9"/>
        <v>-1305600</v>
      </c>
    </row>
    <row r="41" spans="1:13" x14ac:dyDescent="0.35">
      <c r="A41" t="s">
        <v>91</v>
      </c>
      <c r="B41" s="1">
        <f t="shared" si="13"/>
        <v>46077</v>
      </c>
      <c r="C41" s="19">
        <f t="shared" si="11"/>
        <v>1050</v>
      </c>
      <c r="D41" s="19">
        <f t="shared" si="14"/>
        <v>525</v>
      </c>
      <c r="E41" s="22">
        <f>C41+D41</f>
        <v>1575</v>
      </c>
      <c r="F41" s="19">
        <f t="shared" si="0"/>
        <v>11575</v>
      </c>
      <c r="G41" s="19"/>
      <c r="H41" s="19">
        <f>H40+D41</f>
        <v>3375</v>
      </c>
      <c r="I41" s="19">
        <f t="shared" si="5"/>
        <v>432000</v>
      </c>
      <c r="J41" s="19">
        <f>G41-10000-200</f>
        <v>-10200</v>
      </c>
      <c r="K41" s="19">
        <f t="shared" si="9"/>
        <v>-1305600</v>
      </c>
    </row>
    <row r="42" spans="1:13" x14ac:dyDescent="0.35">
      <c r="A42" t="s">
        <v>92</v>
      </c>
      <c r="B42" s="1">
        <f t="shared" si="13"/>
        <v>46078</v>
      </c>
      <c r="C42" s="19">
        <f t="shared" si="11"/>
        <v>1575</v>
      </c>
      <c r="D42" s="19">
        <f t="shared" si="14"/>
        <v>525</v>
      </c>
      <c r="E42" s="22">
        <f>C42+D42</f>
        <v>2100</v>
      </c>
      <c r="F42" s="19">
        <f t="shared" si="0"/>
        <v>12100</v>
      </c>
      <c r="G42" s="19"/>
      <c r="H42" s="19">
        <f>H41+D42</f>
        <v>3900</v>
      </c>
      <c r="I42" s="19">
        <f t="shared" si="5"/>
        <v>499200</v>
      </c>
      <c r="J42" s="19">
        <f>G42-10000-200</f>
        <v>-10200</v>
      </c>
      <c r="K42" s="19">
        <f t="shared" si="9"/>
        <v>-1305600</v>
      </c>
    </row>
    <row r="43" spans="1:13" x14ac:dyDescent="0.35">
      <c r="A43" t="s">
        <v>93</v>
      </c>
      <c r="B43" s="1">
        <f t="shared" si="13"/>
        <v>46079</v>
      </c>
      <c r="C43" s="19">
        <f t="shared" si="11"/>
        <v>2100</v>
      </c>
      <c r="D43" s="19">
        <f t="shared" si="14"/>
        <v>525</v>
      </c>
      <c r="E43" s="22">
        <f>C43+D43</f>
        <v>2625</v>
      </c>
      <c r="F43" s="19">
        <f>F42+D43</f>
        <v>12625</v>
      </c>
      <c r="G43" s="19"/>
      <c r="H43" s="19">
        <f>H42+D43</f>
        <v>4425</v>
      </c>
      <c r="I43" s="19">
        <f>H43*128</f>
        <v>566400</v>
      </c>
      <c r="J43" s="19">
        <f>G43-10000-200</f>
        <v>-10200</v>
      </c>
      <c r="K43" s="19">
        <f t="shared" si="9"/>
        <v>-1305600</v>
      </c>
    </row>
    <row r="44" spans="1:13" x14ac:dyDescent="0.35">
      <c r="A44" s="40" t="s">
        <v>119</v>
      </c>
      <c r="B44" s="41" t="s">
        <v>120</v>
      </c>
      <c r="C44" s="40" t="s">
        <v>121</v>
      </c>
      <c r="D44" s="41" t="s">
        <v>120</v>
      </c>
      <c r="E44" s="40" t="s">
        <v>122</v>
      </c>
      <c r="F44" s="46" t="s">
        <v>125</v>
      </c>
      <c r="G44" s="46" t="s">
        <v>121</v>
      </c>
      <c r="H44" s="19"/>
      <c r="I44" s="19"/>
      <c r="J44" s="19"/>
      <c r="K44" s="19"/>
    </row>
    <row r="45" spans="1:13" x14ac:dyDescent="0.35">
      <c r="A45" s="37" t="s">
        <v>116</v>
      </c>
      <c r="B45" s="38">
        <f>B43+3</f>
        <v>46082</v>
      </c>
      <c r="C45" s="39">
        <v>0</v>
      </c>
      <c r="D45" s="39">
        <v>0</v>
      </c>
      <c r="E45" s="22">
        <v>0</v>
      </c>
      <c r="F45" s="39">
        <v>0</v>
      </c>
      <c r="G45" s="39"/>
      <c r="H45" s="39" t="s">
        <v>124</v>
      </c>
      <c r="I45" s="39"/>
      <c r="J45" s="39"/>
      <c r="K45" s="39">
        <f t="shared" si="9"/>
        <v>0</v>
      </c>
    </row>
    <row r="46" spans="1:13" x14ac:dyDescent="0.35">
      <c r="A46" s="37" t="s">
        <v>118</v>
      </c>
      <c r="B46" s="38">
        <f>B45+1</f>
        <v>46083</v>
      </c>
      <c r="C46" s="39">
        <v>0</v>
      </c>
      <c r="D46" s="39">
        <v>0</v>
      </c>
      <c r="E46" s="22">
        <v>0</v>
      </c>
      <c r="F46" s="39">
        <f t="shared" ref="F46" si="18">F45+D46</f>
        <v>0</v>
      </c>
      <c r="G46" s="39"/>
      <c r="H46" s="39">
        <v>0</v>
      </c>
      <c r="I46" s="39">
        <f t="shared" si="5"/>
        <v>0</v>
      </c>
      <c r="J46" s="39"/>
      <c r="K46" s="39">
        <f t="shared" si="9"/>
        <v>0</v>
      </c>
    </row>
    <row r="47" spans="1:13" x14ac:dyDescent="0.35">
      <c r="A47" t="s">
        <v>74</v>
      </c>
      <c r="B47" s="1">
        <f t="shared" si="13"/>
        <v>46084</v>
      </c>
      <c r="C47" s="20">
        <f t="shared" si="11"/>
        <v>0</v>
      </c>
      <c r="D47" s="19">
        <f>M48</f>
        <v>535.71428571428567</v>
      </c>
      <c r="E47" s="22">
        <f>C47+D47</f>
        <v>535.71428571428567</v>
      </c>
      <c r="F47" s="19">
        <f>F46+D47+L48</f>
        <v>50535.714285714283</v>
      </c>
      <c r="G47" s="19"/>
      <c r="H47" s="19">
        <f>D38</f>
        <v>525</v>
      </c>
      <c r="I47" s="19"/>
      <c r="J47" s="19"/>
      <c r="K47" s="19"/>
      <c r="L47">
        <v>35000</v>
      </c>
      <c r="M47">
        <v>375</v>
      </c>
    </row>
    <row r="48" spans="1:13" x14ac:dyDescent="0.35">
      <c r="A48" t="s">
        <v>75</v>
      </c>
      <c r="B48" s="1">
        <f t="shared" si="13"/>
        <v>46085</v>
      </c>
      <c r="C48" s="19">
        <f t="shared" si="11"/>
        <v>535.71428571428567</v>
      </c>
      <c r="D48" s="19">
        <f t="shared" si="14"/>
        <v>535.71428571428567</v>
      </c>
      <c r="E48" s="22">
        <f t="shared" ref="E48:E67" si="19">C48+D48</f>
        <v>1071.4285714285713</v>
      </c>
      <c r="F48" s="19">
        <f t="shared" ref="F48:F67" si="20">F47+D48</f>
        <v>51071.428571428565</v>
      </c>
      <c r="G48" s="19"/>
      <c r="H48" s="19">
        <f>H47+525</f>
        <v>1050</v>
      </c>
      <c r="I48" s="19">
        <f t="shared" si="5"/>
        <v>134400</v>
      </c>
      <c r="J48" s="19">
        <f>G48-10000-200</f>
        <v>-10200</v>
      </c>
      <c r="K48" s="19">
        <f t="shared" si="9"/>
        <v>-1305600</v>
      </c>
      <c r="L48">
        <v>50000</v>
      </c>
      <c r="M48">
        <f>(M47*L48)/L47</f>
        <v>535.71428571428567</v>
      </c>
    </row>
    <row r="49" spans="1:13" x14ac:dyDescent="0.35">
      <c r="A49" t="s">
        <v>76</v>
      </c>
      <c r="B49" s="1">
        <f t="shared" si="13"/>
        <v>46086</v>
      </c>
      <c r="C49" s="19">
        <f t="shared" si="11"/>
        <v>1071.4285714285713</v>
      </c>
      <c r="D49" s="19">
        <f t="shared" si="14"/>
        <v>535.71428571428567</v>
      </c>
      <c r="E49" s="22">
        <f t="shared" si="19"/>
        <v>1607.1428571428569</v>
      </c>
      <c r="F49" s="19">
        <f t="shared" si="20"/>
        <v>51607.142857142848</v>
      </c>
      <c r="H49" s="19">
        <f>H48+525</f>
        <v>1575</v>
      </c>
      <c r="I49" s="19">
        <f t="shared" si="5"/>
        <v>201600</v>
      </c>
      <c r="L49" s="10">
        <v>0.08</v>
      </c>
      <c r="M49">
        <f>L48*L49</f>
        <v>4000</v>
      </c>
    </row>
    <row r="50" spans="1:13" x14ac:dyDescent="0.35">
      <c r="A50" t="s">
        <v>77</v>
      </c>
      <c r="B50" s="1">
        <f>B49+3</f>
        <v>46089</v>
      </c>
      <c r="C50" s="19">
        <f t="shared" si="11"/>
        <v>1607.1428571428569</v>
      </c>
      <c r="D50" s="19">
        <f t="shared" si="14"/>
        <v>535.71428571428567</v>
      </c>
      <c r="E50" s="22">
        <f t="shared" si="19"/>
        <v>2142.8571428571427</v>
      </c>
      <c r="F50" s="19">
        <f t="shared" si="20"/>
        <v>52142.85714285713</v>
      </c>
      <c r="H50" s="19">
        <f t="shared" ref="H50:H56" si="21">H49+525</f>
        <v>2100</v>
      </c>
      <c r="I50" s="19">
        <f t="shared" si="5"/>
        <v>268800</v>
      </c>
      <c r="L50" s="10">
        <v>0.04</v>
      </c>
      <c r="M50">
        <f>L50*L48</f>
        <v>2000</v>
      </c>
    </row>
    <row r="51" spans="1:13" x14ac:dyDescent="0.35">
      <c r="A51" t="s">
        <v>78</v>
      </c>
      <c r="B51" s="1">
        <f t="shared" si="13"/>
        <v>46090</v>
      </c>
      <c r="C51" s="19">
        <f t="shared" si="11"/>
        <v>2142.8571428571427</v>
      </c>
      <c r="D51" s="19">
        <f t="shared" si="14"/>
        <v>535.71428571428567</v>
      </c>
      <c r="E51" s="22">
        <f t="shared" si="19"/>
        <v>2678.5714285714284</v>
      </c>
      <c r="F51" s="19">
        <f t="shared" si="20"/>
        <v>52678.571428571413</v>
      </c>
      <c r="H51" s="19">
        <f t="shared" si="21"/>
        <v>2625</v>
      </c>
      <c r="I51" s="19">
        <f t="shared" si="5"/>
        <v>336000</v>
      </c>
    </row>
    <row r="52" spans="1:13" x14ac:dyDescent="0.35">
      <c r="A52" t="s">
        <v>79</v>
      </c>
      <c r="B52" s="1">
        <f t="shared" si="13"/>
        <v>46091</v>
      </c>
      <c r="C52" s="19">
        <f t="shared" si="11"/>
        <v>2678.5714285714284</v>
      </c>
      <c r="D52" s="19">
        <f t="shared" si="14"/>
        <v>535.71428571428567</v>
      </c>
      <c r="E52" s="22">
        <f t="shared" si="19"/>
        <v>3214.2857142857142</v>
      </c>
      <c r="F52" s="19">
        <f t="shared" si="20"/>
        <v>53214.285714285696</v>
      </c>
      <c r="H52" s="19">
        <f t="shared" si="21"/>
        <v>3150</v>
      </c>
      <c r="I52" s="19">
        <f t="shared" si="5"/>
        <v>403200</v>
      </c>
    </row>
    <row r="53" spans="1:13" x14ac:dyDescent="0.35">
      <c r="A53" t="s">
        <v>80</v>
      </c>
      <c r="B53" s="1">
        <f t="shared" si="13"/>
        <v>46092</v>
      </c>
      <c r="C53" s="19">
        <f t="shared" si="11"/>
        <v>3214.2857142857142</v>
      </c>
      <c r="D53" s="19">
        <f t="shared" si="14"/>
        <v>535.71428571428567</v>
      </c>
      <c r="E53" s="22">
        <f t="shared" si="19"/>
        <v>3750</v>
      </c>
      <c r="F53" s="19">
        <f t="shared" si="20"/>
        <v>53749.999999999978</v>
      </c>
      <c r="H53" s="19">
        <f t="shared" si="21"/>
        <v>3675</v>
      </c>
      <c r="I53" s="19">
        <f t="shared" si="5"/>
        <v>470400</v>
      </c>
    </row>
    <row r="54" spans="1:13" s="45" customFormat="1" x14ac:dyDescent="0.35">
      <c r="A54" s="45" t="s">
        <v>81</v>
      </c>
      <c r="B54" s="25">
        <f t="shared" si="13"/>
        <v>46093</v>
      </c>
      <c r="C54" s="26">
        <f t="shared" si="11"/>
        <v>3750</v>
      </c>
      <c r="D54" s="26">
        <f t="shared" si="14"/>
        <v>535.71428571428567</v>
      </c>
      <c r="E54" s="26">
        <f t="shared" si="19"/>
        <v>4285.7142857142853</v>
      </c>
      <c r="F54" s="26">
        <f t="shared" si="20"/>
        <v>54285.714285714261</v>
      </c>
      <c r="H54" s="26">
        <f t="shared" si="21"/>
        <v>4200</v>
      </c>
      <c r="I54" s="26">
        <f t="shared" si="5"/>
        <v>537600</v>
      </c>
    </row>
    <row r="55" spans="1:13" x14ac:dyDescent="0.35">
      <c r="A55" s="12" t="s">
        <v>70</v>
      </c>
      <c r="B55" s="1">
        <f>B54+3</f>
        <v>46096</v>
      </c>
      <c r="C55" s="20">
        <v>0</v>
      </c>
      <c r="D55" s="19">
        <f t="shared" si="14"/>
        <v>535.71428571428567</v>
      </c>
      <c r="E55" s="22">
        <f t="shared" si="19"/>
        <v>535.71428571428567</v>
      </c>
      <c r="F55" s="19">
        <f t="shared" si="20"/>
        <v>54821.428571428543</v>
      </c>
      <c r="H55" s="19">
        <f t="shared" si="21"/>
        <v>4725</v>
      </c>
      <c r="I55" s="19">
        <f t="shared" si="5"/>
        <v>604800</v>
      </c>
    </row>
    <row r="56" spans="1:13" x14ac:dyDescent="0.35">
      <c r="A56" t="s">
        <v>71</v>
      </c>
      <c r="B56" s="1">
        <f t="shared" si="13"/>
        <v>46097</v>
      </c>
      <c r="C56" s="19">
        <f t="shared" si="11"/>
        <v>535.71428571428567</v>
      </c>
      <c r="D56" s="19">
        <f t="shared" si="14"/>
        <v>535.71428571428567</v>
      </c>
      <c r="E56" s="22">
        <f t="shared" si="19"/>
        <v>1071.4285714285713</v>
      </c>
      <c r="F56" s="19">
        <f t="shared" si="20"/>
        <v>55357.142857142826</v>
      </c>
      <c r="H56" s="19">
        <f t="shared" si="21"/>
        <v>5250</v>
      </c>
      <c r="I56" s="19">
        <f t="shared" si="5"/>
        <v>672000</v>
      </c>
    </row>
    <row r="57" spans="1:13" x14ac:dyDescent="0.35">
      <c r="A57" s="12" t="s">
        <v>72</v>
      </c>
      <c r="B57" s="1">
        <f t="shared" si="13"/>
        <v>46098</v>
      </c>
      <c r="C57" s="19">
        <f t="shared" si="11"/>
        <v>1071.4285714285713</v>
      </c>
      <c r="D57" s="19">
        <f t="shared" si="14"/>
        <v>535.71428571428567</v>
      </c>
      <c r="E57" s="22">
        <f>C57+D57</f>
        <v>1607.1428571428569</v>
      </c>
      <c r="F57" s="19">
        <f t="shared" si="20"/>
        <v>55892.857142857109</v>
      </c>
      <c r="H57" s="19">
        <f>H56+525</f>
        <v>5775</v>
      </c>
      <c r="I57" s="19">
        <f t="shared" si="5"/>
        <v>739200</v>
      </c>
    </row>
    <row r="58" spans="1:13" s="45" customFormat="1" x14ac:dyDescent="0.35">
      <c r="A58" s="45" t="s">
        <v>73</v>
      </c>
      <c r="B58" s="25">
        <f t="shared" si="13"/>
        <v>46099</v>
      </c>
      <c r="C58" s="26">
        <f t="shared" si="11"/>
        <v>1607.1428571428569</v>
      </c>
      <c r="D58" s="26">
        <f>D57</f>
        <v>535.71428571428567</v>
      </c>
      <c r="E58" s="26">
        <f>C58+D58</f>
        <v>2142.8571428571427</v>
      </c>
      <c r="F58" s="26">
        <f t="shared" si="20"/>
        <v>56428.571428571391</v>
      </c>
      <c r="H58" s="26">
        <f>H57+525</f>
        <v>6300</v>
      </c>
      <c r="I58" s="26">
        <f t="shared" si="5"/>
        <v>806400</v>
      </c>
    </row>
    <row r="59" spans="1:13" s="48" customFormat="1" x14ac:dyDescent="0.35">
      <c r="A59" s="48" t="s">
        <v>115</v>
      </c>
      <c r="B59" s="31">
        <f t="shared" si="13"/>
        <v>46100</v>
      </c>
      <c r="C59" s="32">
        <v>0</v>
      </c>
      <c r="D59" s="32"/>
      <c r="E59" s="32">
        <f t="shared" si="19"/>
        <v>0</v>
      </c>
      <c r="F59" s="32">
        <f t="shared" si="20"/>
        <v>56428.571428571391</v>
      </c>
      <c r="H59" s="19">
        <f>H58+525</f>
        <v>6825</v>
      </c>
      <c r="I59" s="32">
        <f t="shared" si="5"/>
        <v>873600</v>
      </c>
    </row>
    <row r="60" spans="1:13" x14ac:dyDescent="0.35">
      <c r="A60" t="s">
        <v>92</v>
      </c>
      <c r="B60" s="1">
        <f>B59+3</f>
        <v>46103</v>
      </c>
      <c r="C60" s="19">
        <f t="shared" si="11"/>
        <v>0</v>
      </c>
      <c r="D60" s="19">
        <f>D58</f>
        <v>535.71428571428567</v>
      </c>
      <c r="E60" s="22">
        <f t="shared" si="19"/>
        <v>535.71428571428567</v>
      </c>
      <c r="F60" s="19">
        <f>F59+D60</f>
        <v>56964.285714285674</v>
      </c>
      <c r="H60" s="19">
        <f t="shared" ref="H60:H67" si="22">H59+D60</f>
        <v>7360.7142857142853</v>
      </c>
      <c r="I60" s="19">
        <f t="shared" si="5"/>
        <v>942171.42857142852</v>
      </c>
    </row>
    <row r="61" spans="1:13" x14ac:dyDescent="0.35">
      <c r="A61" t="s">
        <v>93</v>
      </c>
      <c r="B61" s="1">
        <f t="shared" si="13"/>
        <v>46104</v>
      </c>
      <c r="C61" s="19">
        <f t="shared" si="11"/>
        <v>535.71428571428567</v>
      </c>
      <c r="D61" s="19">
        <f t="shared" si="14"/>
        <v>535.71428571428567</v>
      </c>
      <c r="E61" s="22">
        <f t="shared" si="19"/>
        <v>1071.4285714285713</v>
      </c>
      <c r="F61" s="19">
        <f t="shared" si="20"/>
        <v>57499.999999999956</v>
      </c>
      <c r="H61" s="19">
        <f t="shared" si="22"/>
        <v>7896.4285714285706</v>
      </c>
      <c r="I61" s="19">
        <f t="shared" si="5"/>
        <v>1010742.857142857</v>
      </c>
    </row>
    <row r="62" spans="1:13" x14ac:dyDescent="0.35">
      <c r="A62" t="s">
        <v>94</v>
      </c>
      <c r="B62" s="1">
        <f t="shared" si="13"/>
        <v>46105</v>
      </c>
      <c r="C62" s="19">
        <f t="shared" si="11"/>
        <v>1071.4285714285713</v>
      </c>
      <c r="D62" s="19">
        <f t="shared" si="14"/>
        <v>535.71428571428567</v>
      </c>
      <c r="E62" s="22">
        <f t="shared" si="19"/>
        <v>1607.1428571428569</v>
      </c>
      <c r="F62" s="19">
        <f t="shared" si="20"/>
        <v>58035.714285714239</v>
      </c>
      <c r="H62" s="19">
        <f t="shared" si="22"/>
        <v>8432.1428571428569</v>
      </c>
      <c r="I62" s="19">
        <f t="shared" si="5"/>
        <v>1079314.2857142857</v>
      </c>
    </row>
    <row r="63" spans="1:13" x14ac:dyDescent="0.35">
      <c r="A63" t="s">
        <v>95</v>
      </c>
      <c r="B63" s="1">
        <f t="shared" si="13"/>
        <v>46106</v>
      </c>
      <c r="C63" s="19">
        <f t="shared" si="11"/>
        <v>1607.1428571428569</v>
      </c>
      <c r="D63" s="19">
        <f t="shared" si="14"/>
        <v>535.71428571428567</v>
      </c>
      <c r="E63" s="22">
        <f t="shared" si="19"/>
        <v>2142.8571428571427</v>
      </c>
      <c r="F63" s="19">
        <f t="shared" si="20"/>
        <v>58571.428571428522</v>
      </c>
      <c r="H63" s="19">
        <f t="shared" si="22"/>
        <v>8967.8571428571431</v>
      </c>
      <c r="I63" s="19">
        <f t="shared" si="5"/>
        <v>1147885.7142857143</v>
      </c>
    </row>
    <row r="64" spans="1:13" x14ac:dyDescent="0.35">
      <c r="A64" t="s">
        <v>96</v>
      </c>
      <c r="B64" s="1">
        <f t="shared" si="13"/>
        <v>46107</v>
      </c>
      <c r="C64" s="19">
        <f t="shared" si="11"/>
        <v>2142.8571428571427</v>
      </c>
      <c r="D64" s="19">
        <f t="shared" si="14"/>
        <v>535.71428571428567</v>
      </c>
      <c r="E64" s="22">
        <f t="shared" si="19"/>
        <v>2678.5714285714284</v>
      </c>
      <c r="F64" s="19">
        <f t="shared" si="20"/>
        <v>59107.142857142804</v>
      </c>
      <c r="H64" s="19">
        <f t="shared" si="22"/>
        <v>9503.5714285714294</v>
      </c>
      <c r="I64" s="19">
        <f t="shared" si="5"/>
        <v>1216457.142857143</v>
      </c>
    </row>
    <row r="65" spans="1:12" x14ac:dyDescent="0.35">
      <c r="A65" t="s">
        <v>97</v>
      </c>
      <c r="B65" s="1">
        <f>B64+3</f>
        <v>46110</v>
      </c>
      <c r="C65" s="19">
        <f t="shared" si="11"/>
        <v>2678.5714285714284</v>
      </c>
      <c r="D65" s="19">
        <f t="shared" si="14"/>
        <v>535.71428571428567</v>
      </c>
      <c r="E65" s="22">
        <f t="shared" si="19"/>
        <v>3214.2857142857142</v>
      </c>
      <c r="F65" s="19">
        <f t="shared" si="20"/>
        <v>59642.857142857087</v>
      </c>
      <c r="H65" s="19">
        <f t="shared" si="22"/>
        <v>10039.285714285716</v>
      </c>
      <c r="I65" s="19">
        <f t="shared" si="5"/>
        <v>1285028.5714285716</v>
      </c>
    </row>
    <row r="66" spans="1:12" x14ac:dyDescent="0.35">
      <c r="A66" t="s">
        <v>98</v>
      </c>
      <c r="B66" s="1">
        <f t="shared" si="13"/>
        <v>46111</v>
      </c>
      <c r="C66" s="19">
        <f t="shared" si="11"/>
        <v>3214.2857142857142</v>
      </c>
      <c r="D66" s="19">
        <f t="shared" si="14"/>
        <v>535.71428571428567</v>
      </c>
      <c r="E66" s="22">
        <f t="shared" si="19"/>
        <v>3750</v>
      </c>
      <c r="F66" s="19">
        <f t="shared" si="20"/>
        <v>60178.571428571369</v>
      </c>
      <c r="H66" s="19">
        <f t="shared" si="22"/>
        <v>10575.000000000002</v>
      </c>
      <c r="I66" s="19">
        <f t="shared" si="5"/>
        <v>1353600.0000000002</v>
      </c>
    </row>
    <row r="67" spans="1:12" x14ac:dyDescent="0.35">
      <c r="A67" t="s">
        <v>99</v>
      </c>
      <c r="B67" s="1">
        <f t="shared" si="13"/>
        <v>46112</v>
      </c>
      <c r="C67" s="19">
        <f t="shared" si="11"/>
        <v>3750</v>
      </c>
      <c r="D67" s="19">
        <f t="shared" si="14"/>
        <v>535.71428571428567</v>
      </c>
      <c r="E67" s="22">
        <f t="shared" si="19"/>
        <v>4285.7142857142853</v>
      </c>
      <c r="F67" s="19">
        <f t="shared" si="20"/>
        <v>60714.285714285652</v>
      </c>
      <c r="H67" s="19">
        <f t="shared" si="22"/>
        <v>11110.714285714288</v>
      </c>
      <c r="I67" s="19">
        <f t="shared" si="5"/>
        <v>1422171.4285714289</v>
      </c>
      <c r="K67">
        <f>85000</f>
        <v>85000</v>
      </c>
      <c r="L67">
        <f>K67*128</f>
        <v>10880000</v>
      </c>
    </row>
    <row r="68" spans="1:12" x14ac:dyDescent="0.35">
      <c r="B68" s="1"/>
      <c r="L68" s="49">
        <f>I67/L67</f>
        <v>0.13071428571428576</v>
      </c>
    </row>
    <row r="69" spans="1:12" x14ac:dyDescent="0.35">
      <c r="B69" s="1"/>
    </row>
    <row r="70" spans="1:12" x14ac:dyDescent="0.35">
      <c r="B7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Pivots</vt:lpstr>
      <vt:lpstr>Raw</vt:lpstr>
      <vt:lpstr>Trades</vt:lpstr>
      <vt:lpstr>Sheet1</vt:lpstr>
      <vt:lpstr>Sheet2</vt:lpstr>
      <vt:lpstr>Phase 1</vt:lpstr>
      <vt:lpstr>GOALS</vt:lpstr>
      <vt:lpstr>Compounding bot</vt:lpstr>
      <vt:lpstr>Compounding 2026</vt:lpstr>
      <vt:lpstr>trades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</dc:creator>
  <cp:lastModifiedBy>USER</cp:lastModifiedBy>
  <dcterms:created xsi:type="dcterms:W3CDTF">2021-01-08T06:54:05Z</dcterms:created>
  <dcterms:modified xsi:type="dcterms:W3CDTF">2026-05-29T18:21:58Z</dcterms:modified>
</cp:coreProperties>
</file>